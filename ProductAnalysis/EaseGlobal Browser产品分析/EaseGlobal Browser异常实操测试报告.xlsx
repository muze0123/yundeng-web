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20013ab23544800" /></Relationships>
</file>

<file path=xl/workbook.xml><?xml version="1.0" encoding="utf-8"?>
<x:workbook xmlns:x="http://schemas.openxmlformats.org/spreadsheetml/2006/main">
  <x:sheets>
    <x:sheet xmlns:r="http://schemas.openxmlformats.org/officeDocument/2006/relationships" name="报告总览" sheetId="1" r:id="Raeb4e841a62d4ef4"/>
    <x:sheet xmlns:r="http://schemas.openxmlformats.org/officeDocument/2006/relationships" name="使用说明" sheetId="2" r:id="R742d5d1c0c93478c"/>
    <x:sheet xmlns:r="http://schemas.openxmlformats.org/officeDocument/2006/relationships" name="已实操记录" sheetId="3" r:id="R0010a97a8e384911"/>
    <x:sheet xmlns:r="http://schemas.openxmlformats.org/officeDocument/2006/relationships" name="官网与账号" sheetId="4" r:id="Ra54579b72ff147d9"/>
    <x:sheet xmlns:r="http://schemas.openxmlformats.org/officeDocument/2006/relationships" name="店铺与设备" sheetId="5" r:id="R7ace422800224887"/>
    <x:sheet xmlns:r="http://schemas.openxmlformats.org/officeDocument/2006/relationships" name="团队与安全" sheetId="6" r:id="R001c22a6ef1845bd"/>
    <x:sheet xmlns:r="http://schemas.openxmlformats.org/officeDocument/2006/relationships" name="费用与插件" sheetId="7" r:id="Rd536116b6e9449a5"/>
    <x:sheet xmlns:r="http://schemas.openxmlformats.org/officeDocument/2006/relationships" name="Agent与服务" sheetId="8" r:id="R88fff3964ea24d9b"/>
    <x:sheet xmlns:r="http://schemas.openxmlformats.org/officeDocument/2006/relationships" name="场景总表" sheetId="9" r:id="R0a2d4b3a02a64f77"/>
    <x:sheet xmlns:r="http://schemas.openxmlformats.org/officeDocument/2006/relationships" name="重点问题" sheetId="10" r:id="R8ba823727ba94b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2">
    <x:font>
      <x:sz val="11"/>
      <x:name val="Carlito"/>
    </x:font>
    <x:font>
      <x:b/>
      <x:sz val="18"/>
      <x:color rgb="FFFFFFFF"/>
      <x:name val="Carlito"/>
    </x:font>
    <x:font>
      <x:sz val="10"/>
      <x:color rgb="FF667085"/>
      <x:name val="Carlito"/>
    </x:font>
    <x:font>
      <x:b/>
      <x:sz val="10"/>
      <x:color rgb="FFFFFFFF"/>
      <x:name val="Carlito"/>
    </x:font>
    <x:font>
      <x:sz val="9"/>
      <x:color rgb="FF172033"/>
      <x:name val="Carlito"/>
    </x:font>
    <x:font>
      <x:b/>
      <x:sz val="22"/>
      <x:color rgb="FFFFFFFF"/>
      <x:name val="Carlito"/>
    </x:font>
    <x:font>
      <x:b/>
      <x:sz val="11"/>
      <x:color rgb="FFFFFFFF"/>
      <x:name val="Carlito"/>
    </x:font>
    <x:font>
      <x:b/>
      <x:sz val="12"/>
      <x:color rgb="FFFFFFFF"/>
      <x:name val="Carlito"/>
    </x:font>
    <x:font>
      <x:sz val="10"/>
      <x:color rgb="FF172033"/>
      <x:name val="Carlito"/>
    </x:font>
    <x:font>
      <x:b/>
      <x:sz val="11"/>
      <x:color rgb="FF203864"/>
      <x:name val="Carlito"/>
    </x:font>
    <x:font>
      <x:sz val="11"/>
      <x:color rgb="FFB54708"/>
      <x:name val="Carlito"/>
    </x:font>
    <x:font>
      <x:sz val="11"/>
      <x:color rgb="FF172033"/>
      <x:name val="Carlito"/>
    </x:font>
  </x:fonts>
  <x:fills count="11">
    <x:fill>
      <x:patternFill patternType="none"/>
    </x:fill>
    <x:fill>
      <x:patternFill patternType="gray125"/>
    </x:fill>
    <x:fill>
      <x:patternFill patternType="solid">
        <x:fgColor rgb="FF203864"/>
      </x:patternFill>
    </x:fill>
    <x:fill>
      <x:patternFill patternType="solid">
        <x:fgColor rgb="FFEAF0F8"/>
      </x:patternFill>
    </x:fill>
    <x:fill>
      <x:patternFill patternType="solid">
        <x:fgColor rgb="FF147D80"/>
      </x:patternFill>
    </x:fill>
    <x:fill>
      <x:patternFill patternType="solid">
        <x:fgColor rgb="FF027A48"/>
      </x:patternFill>
    </x:fill>
    <x:fill>
      <x:patternFill patternType="solid">
        <x:fgColor rgb="FF667085"/>
      </x:patternFill>
    </x:fill>
    <x:fill>
      <x:patternFill patternType="solid">
        <x:fgColor rgb="FFB42318"/>
      </x:patternFill>
    </x:fill>
    <x:fill>
      <x:patternFill patternType="solid">
        <x:fgColor rgb="FFFFFFFF"/>
      </x:patternFill>
    </x:fill>
    <x:fill>
      <x:patternFill patternType="solid">
        <x:fgColor rgb="FFF2F4F7"/>
      </x:patternFill>
    </x:fill>
    <x:fill>
      <x:patternFill patternType="solid">
        <x:fgColor rgb="FFFEF0C7"/>
      </x:patternFill>
    </x:fill>
  </x:fills>
  <x:borders count="7">
    <x:border/>
    <x:border>
      <x:left style="thin">
        <x:color rgb="FF147D80"/>
      </x:left>
      <x:top style="thin">
        <x:color rgb="FF147D80"/>
      </x:top>
      <x:bottom style="thin">
        <x:color rgb="FF147D80"/>
      </x:bottom>
    </x:border>
    <x:border>
      <x:top style="thin">
        <x:color rgb="FF147D80"/>
      </x:top>
      <x:bottom style="thin">
        <x:color rgb="FF147D80"/>
      </x:bottom>
    </x:border>
    <x:border>
      <x:right style="thin">
        <x:color rgb="FF147D80"/>
      </x:right>
      <x:top style="thin">
        <x:color rgb="FF147D80"/>
      </x:top>
      <x:bottom style="thin">
        <x:color rgb="FF147D80"/>
      </x:bottom>
    </x:border>
    <x:border>
      <x:right style="thin">
        <x:color rgb="FFD0D5DD"/>
      </x:right>
    </x:border>
    <x:border>
      <x:left style="thin">
        <x:color rgb="FFD0D5DD"/>
      </x:left>
      <x:right style="thin">
        <x:color rgb="FFD0D5DD"/>
      </x:right>
    </x:border>
    <x:border>
      <x:left style="thin">
        <x:color rgb="FFD0D5DD"/>
      </x:left>
    </x:border>
  </x:borders>
  <x:cellStyleXfs count="1">
    <x:xf numFmtId="0" fontId="0" fillId="0" borderId="0"/>
  </x:cellStyleXfs>
  <x:cellXfs count="1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200" fontId="0" fillId="0"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7" fillId="2" borderId="0" xfId="0" applyNumberFormat="1" applyFont="1" applyFill="1" applyBorder="1"/>
    <x:xf numFmtId="0" fontId="7" fillId="2" borderId="0" xfId="0" applyNumberFormat="1" applyFont="1" applyFill="1" applyBorder="1" applyAlignment="1">
      <x:alignment vertical="center"/>
    </x:xf>
    <x:xf numFmtId="0" fontId="8" fillId="3" borderId="0" xfId="0" applyNumberFormat="1" applyFont="1" applyFill="1" applyBorder="1"/>
    <x:xf numFmtId="0" fontId="8" fillId="3" borderId="4" xfId="0" applyNumberFormat="1" applyFont="1" applyFill="1" applyBorder="1"/>
    <x:xf numFmtId="0" fontId="8" fillId="3" borderId="5" xfId="0" applyNumberFormat="1" applyFont="1" applyFill="1" applyBorder="1"/>
    <x:xf numFmtId="0" fontId="8" fillId="3" borderId="6" xfId="0" applyNumberFormat="1" applyFont="1" applyFill="1" applyBorder="1"/>
    <x:xf numFmtId="0" fontId="8" fillId="3" borderId="4" xfId="0" applyNumberFormat="1" applyFont="1" applyFill="1" applyBorder="1" applyAlignment="1">
      <x:alignment wrapText="1"/>
    </x:xf>
    <x:xf numFmtId="0" fontId="8" fillId="3" borderId="5" xfId="0" applyNumberFormat="1" applyFont="1" applyFill="1" applyBorder="1" applyAlignment="1">
      <x:alignment wrapText="1"/>
    </x:xf>
    <x:xf numFmtId="0" fontId="8" fillId="3" borderId="6" xfId="0" applyNumberFormat="1" applyFont="1" applyFill="1" applyBorder="1" applyAlignment="1">
      <x:alignment wrapText="1"/>
    </x:xf>
    <x:xf numFmtId="0" fontId="8" fillId="3" borderId="4" xfId="0" applyNumberFormat="1" applyFont="1" applyFill="1" applyBorder="1" applyAlignment="1">
      <x:alignment vertical="center" wrapText="1"/>
    </x:xf>
    <x:xf numFmtId="0" fontId="8" fillId="3" borderId="5" xfId="0" applyNumberFormat="1" applyFont="1" applyFill="1" applyBorder="1" applyAlignment="1">
      <x:alignment vertical="center" wrapText="1"/>
    </x:xf>
    <x:xf numFmtId="0" fontId="8" fillId="3" borderId="6" xfId="0" applyNumberFormat="1" applyFont="1" applyFill="1" applyBorder="1" applyAlignment="1">
      <x:alignment vertical="center" wrapText="1"/>
    </x:xf>
    <x:xf numFmtId="0" fontId="8" fillId="3" borderId="4" xfId="0" applyNumberFormat="1" applyFont="1" applyFill="1" applyBorder="1" applyAlignment="1">
      <x:alignment horizontal="center" vertical="center" wrapText="1"/>
    </x:xf>
    <x:xf numFmtId="0" fontId="0" fillId="8" borderId="0" xfId="0" applyNumberFormat="1" applyFont="1" applyFill="1" applyBorder="1"/>
    <x:xf numFmtId="0" fontId="8" fillId="8" borderId="0" xfId="0" applyNumberFormat="1" applyFont="1" applyFill="1" applyBorder="1"/>
    <x:xf numFmtId="0" fontId="8" fillId="8" borderId="4"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4"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4" xfId="0" applyNumberFormat="1" applyFont="1" applyFill="1" applyBorder="1" applyAlignment="1">
      <x:alignment vertical="center" wrapText="1"/>
    </x:xf>
    <x:xf numFmtId="0" fontId="8" fillId="8" borderId="5" xfId="0" applyNumberFormat="1" applyFont="1" applyFill="1" applyBorder="1" applyAlignment="1">
      <x:alignment vertical="center" wrapText="1"/>
    </x:xf>
    <x:xf numFmtId="0" fontId="8" fillId="8" borderId="6" xfId="0" applyNumberFormat="1" applyFont="1" applyFill="1" applyBorder="1" applyAlignment="1">
      <x:alignment vertical="center" wrapText="1"/>
    </x:xf>
    <x:xf numFmtId="0" fontId="8" fillId="8" borderId="4"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8" fillId="3" borderId="0" xfId="0" applyNumberFormat="1" applyFont="1" applyFill="1" applyBorder="1" applyAlignment="1">
      <x:alignment horizontal="center" vertical="center" wrapText="1"/>
    </x:xf>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8" fillId="8" borderId="0" xfId="0" applyNumberFormat="1" applyFont="1" applyFill="1" applyBorder="1" applyAlignment="1">
      <x:alignment horizontal="center" vertical="center" wrapText="1"/>
    </x:xf>
    <x:xf numFmtId="0" fontId="6" fillId="4" borderId="0" xfId="0" applyNumberFormat="1" applyFont="1" applyFill="1" applyBorder="1" applyAlignment="1">
      <x:alignment vertic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center" wrapText="1"/>
    </x:xf>
    <x:xf numFmtId="0" fontId="9" fillId="9" borderId="0" xfId="0" applyNumberFormat="1" applyFont="1" applyFill="1" applyBorder="1" applyAlignment="1">
      <x:alignment vertical="center" wrapText="1"/>
    </x:xf>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9" fillId="8" borderId="0" xfId="0" applyNumberFormat="1" applyFont="1" applyFill="1" applyBorder="1" applyAlignment="1">
      <x:alignment vertical="center"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center" wrapText="1"/>
    </x:xf>
    <x:xf numFmtId="0" fontId="11" fillId="9" borderId="0" xfId="0" applyNumberFormat="1" applyFont="1" applyFill="1" applyBorder="1"/>
    <x:xf numFmtId="0" fontId="11" fillId="9" borderId="0" xfId="0" applyNumberFormat="1" applyFont="1" applyFill="1" applyBorder="1" applyAlignment="1">
      <x:alignment wrapText="1"/>
    </x:xf>
    <x:xf numFmtId="0" fontId="11" fillId="9"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cellXfs>
  <x:cellStyles count="1">
    <x:cellStyle name="Normal" xfId="0"/>
  </x:cellStyles>
  <x:dxfs count="49">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54708"/>
      </x:font>
      <x:fill>
        <x:patternFill patternType="solid">
          <x:bgColor rgb="FFFEF0C7"/>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B42318"/>
      </x:font>
      <x:fill>
        <x:patternFill patternType="solid">
          <x:bgColor rgb="FFFEE4E2"/>
        </x:patternFill>
      </x:fill>
    </x:dxf>
    <x:dxf>
      <x:font>
        <x:b/>
        <x:color rgb="FFB54708"/>
      </x:font>
      <x:fill>
        <x:patternFill patternType="solid">
          <x:bgColor rgb="FFFEF0C7"/>
        </x:patternFill>
      </x:fill>
    </x:dxf>
    <x:dxf>
      <x:font>
        <x:b/>
        <x:color rgb="FF147D80"/>
      </x:font>
      <x:fill>
        <x:patternFill patternType="solid">
          <x:bgColor rgb="FFDFF4F2"/>
        </x:patternFill>
      </x:fill>
    </x:dxf>
    <x:dxf>
      <x:font>
        <x:b/>
        <x:color rgb="FF027A48"/>
      </x:font>
      <x:fill>
        <x:patternFill patternType="solid">
          <x:bgColor rgb="FFD1FADF"/>
        </x:patternFill>
      </x:fill>
    </x:dxf>
    <x:dxf>
      <x:font>
        <x:color rgb="FF667085"/>
      </x:font>
      <x:fill>
        <x:patternFill patternType="solid">
          <x:bgColor rgb="FFF2F4F7"/>
        </x:patternFill>
      </x:fill>
    </x:dxf>
    <x:dxf>
      <x:font>
        <x:b/>
        <x:color rgb="FFB42318"/>
      </x:font>
      <x:fill>
        <x:patternFill patternType="solid">
          <x:bgColor rgb="FFFEE4E2"/>
        </x:patternFill>
      </x:fill>
    </x:dxf>
    <x:dxf>
      <x:font>
        <x:b/>
        <x:color rgb="FFB54708"/>
      </x:font>
      <x:fill>
        <x:patternFill patternType="solid">
          <x:bgColor rgb="FFFEF0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06865d56bc42ea" /><Relationship Type="http://schemas.openxmlformats.org/officeDocument/2006/relationships/theme" Target="/xl/theme/theme1.xml" Id="Rfc7ed769547744b2" /><Relationship Type="http://schemas.openxmlformats.org/officeDocument/2006/relationships/sharedStrings" Target="/xl/sharedStrings.xml" Id="R3f00661101de45e1" /><Relationship Type="http://schemas.openxmlformats.org/officeDocument/2006/relationships/worksheet" Target="/xl/worksheets/sheet1.xml" Id="Raeb4e841a62d4ef4" /><Relationship Type="http://schemas.openxmlformats.org/officeDocument/2006/relationships/worksheet" Target="/xl/worksheets/sheet2.xml" Id="R742d5d1c0c93478c" /><Relationship Type="http://schemas.openxmlformats.org/officeDocument/2006/relationships/worksheet" Target="/xl/worksheets/sheet3.xml" Id="R0010a97a8e384911" /><Relationship Type="http://schemas.openxmlformats.org/officeDocument/2006/relationships/worksheet" Target="/xl/worksheets/sheet4.xml" Id="Ra54579b72ff147d9" /><Relationship Type="http://schemas.openxmlformats.org/officeDocument/2006/relationships/worksheet" Target="/xl/worksheets/sheet5.xml" Id="R7ace422800224887" /><Relationship Type="http://schemas.openxmlformats.org/officeDocument/2006/relationships/worksheet" Target="/xl/worksheets/sheet6.xml" Id="R001c22a6ef1845bd" /><Relationship Type="http://schemas.openxmlformats.org/officeDocument/2006/relationships/worksheet" Target="/xl/worksheets/sheet7.xml" Id="Rd536116b6e9449a5" /><Relationship Type="http://schemas.openxmlformats.org/officeDocument/2006/relationships/worksheet" Target="/xl/worksheets/sheet8.xml" Id="R88fff3964ea24d9b" /><Relationship Type="http://schemas.openxmlformats.org/officeDocument/2006/relationships/worksheet" Target="/xl/worksheets/sheet9.xml" Id="R0a2d4b3a02a64f77" /><Relationship Type="http://schemas.openxmlformats.org/officeDocument/2006/relationships/worksheet" Target="/xl/worksheets/sheet10.xml" Id="R8ba823727ba94bb3" /><Relationship Type="http://schemas.microsoft.com/office/2017/10/relationships/person" Target="/xl/persons/person.xml" Id="Rf18e0ac1a2ae4424" /></Relationships>
</file>

<file path=xl/persons/person.xml><?xml version="1.0" encoding="utf-8"?>
<xltc:personList xmlns:xltc="http://schemas.microsoft.com/office/spreadsheetml/2018/threadedcomments">
  <xltc:person displayName="zhangbin" id="{AA4BF35A-ABD3-41EF-9178-A2B643D55483}"/>
</xltc:personList>
</file>

<file path=xl/tables/table1.xml><?xml version="1.0" encoding="utf-8"?>
<x:table xmlns:x="http://schemas.openxmlformats.org/spreadsheetml/2006/main" id="1" name="ActualRecordsTable" displayName="ActualRecordsTable" ref="A4:R21" headerRowCount="1" totalsRowCount="0" totalsRowShown="0">
  <x:autoFilter ref="A4:R21"/>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2.xml><?xml version="1.0" encoding="utf-8"?>
<x:table xmlns:x="http://schemas.openxmlformats.org/spreadsheetml/2006/main" id="2" name="WebAccountTable" displayName="WebAccountTable" ref="A4:R57" headerRowCount="1" totalsRowCount="0" totalsRowShown="0">
  <x:autoFilter ref="A4:R57"/>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3.xml><?xml version="1.0" encoding="utf-8"?>
<x:table xmlns:x="http://schemas.openxmlformats.org/spreadsheetml/2006/main" id="3" name="StoreDeviceTable" displayName="StoreDeviceTable" ref="A4:R34" headerRowCount="1" totalsRowCount="0" totalsRowShown="0">
  <x:autoFilter ref="A4:R34"/>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4.xml><?xml version="1.0" encoding="utf-8"?>
<x:table xmlns:x="http://schemas.openxmlformats.org/spreadsheetml/2006/main" id="4" name="TeamSecurityTable" displayName="TeamSecurityTable" ref="A4:R29" headerRowCount="1" totalsRowCount="0" totalsRowShown="0">
  <x:autoFilter ref="A4:R29"/>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5.xml><?xml version="1.0" encoding="utf-8"?>
<x:table xmlns:x="http://schemas.openxmlformats.org/spreadsheetml/2006/main" id="5" name="FinanceExtensionsTable" displayName="FinanceExtensionsTable" ref="A4:R33" headerRowCount="1" totalsRowCount="0" totalsRowShown="0">
  <x:autoFilter ref="A4:R33"/>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6.xml><?xml version="1.0" encoding="utf-8"?>
<x:table xmlns:x="http://schemas.openxmlformats.org/spreadsheetml/2006/main" id="6" name="AgentServiceTable" displayName="AgentServiceTable" ref="A4:R25" headerRowCount="1" totalsRowCount="0" totalsRowShown="0">
  <x:autoFilter ref="A4:R25"/>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7.xml><?xml version="1.0" encoding="utf-8"?>
<x:table xmlns:x="http://schemas.openxmlformats.org/spreadsheetml/2006/main" id="7" name="AllScenariosTable" displayName="AllScenariosTable" ref="A4:R179" headerRowCount="1" totalsRowCount="0" totalsRowShown="0">
  <x:autoFilter ref="A4:R179"/>
  <x:tableColumns count="18">
    <x:tableColumn id="1" name="场景ID"/>
    <x:tableColumn id="2" name="模块"/>
    <x:tableColumn id="3" name="实操状态"/>
    <x:tableColumn id="4" name="优先级"/>
    <x:tableColumn id="5" name="账号与角色"/>
    <x:tableColumn id="6" name="客户端/网页版本"/>
    <x:tableColumn id="7" name="设备/IP"/>
    <x:tableColumn id="8" name="前置状态"/>
    <x:tableColumn id="9" name="操作次数与并发数"/>
    <x:tableColumn id="10" name="按钮状态"/>
    <x:tableColumn id="11" name="完整错误文案"/>
    <x:tableColumn id="12" name="Toast/弹窗"/>
    <x:tableColumn id="13" name="实际业务结果"/>
    <x:tableColumn id="14" name="冷却时间"/>
    <x:tableColumn id="15" name="日志/消息/短信"/>
    <x:tableColumn id="16" name="是否可恢复"/>
    <x:tableColumn id="17" name="截图或录屏"/>
    <x:tableColumn id="18" name="产品设计判断"/>
  </x:tableColumns>
  <x:tableStyleInfo name="TableStyleMedium2" showFirstColumn="0" showLastColumn="0" showRowStripes="1" showColumnStripes="0"/>
</x:table>
</file>

<file path=xl/tables/table8.xml><?xml version="1.0" encoding="utf-8"?>
<x:table xmlns:x="http://schemas.openxmlformats.org/spreadsheetml/2006/main" id="8" name="ProductIssuesTable" displayName="ProductIssuesTable" ref="A4:D14" headerRowCount="1" totalsRowCount="0" totalsRowShown="0">
  <x:autoFilter ref="A4:D14"/>
  <x:tableColumns count="4">
    <x:tableColumn id="1" name="优先级"/>
    <x:tableColumn id="2" name="当前问题"/>
    <x:tableColumn id="3" name="产品建议"/>
    <x:tableColumn id="4" name="验收标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b6e34093a5a465b" /></Relationships>
</file>

<file path=xl/worksheets/_rels/sheet4.xml.rels>&#65279;<?xml version="1.0" encoding="utf-8"?><Relationships xmlns="http://schemas.openxmlformats.org/package/2006/relationships"><Relationship Type="http://schemas.openxmlformats.org/officeDocument/2006/relationships/table" Target="/xl/tables/table2.xml" Id="Rfff4114a34fc4b0c" /></Relationships>
</file>

<file path=xl/worksheets/_rels/sheet5.xml.rels>&#65279;<?xml version="1.0" encoding="utf-8"?><Relationships xmlns="http://schemas.openxmlformats.org/package/2006/relationships"><Relationship Type="http://schemas.openxmlformats.org/officeDocument/2006/relationships/table" Target="/xl/tables/table3.xml" Id="R043d17659fcd4c04" /></Relationships>
</file>

<file path=xl/worksheets/_rels/sheet6.xml.rels>&#65279;<?xml version="1.0" encoding="utf-8"?><Relationships xmlns="http://schemas.openxmlformats.org/package/2006/relationships"><Relationship Type="http://schemas.openxmlformats.org/officeDocument/2006/relationships/table" Target="/xl/tables/table4.xml" Id="R0072f04fb00f4043" /></Relationships>
</file>

<file path=xl/worksheets/_rels/sheet7.xml.rels>&#65279;<?xml version="1.0" encoding="utf-8"?><Relationships xmlns="http://schemas.openxmlformats.org/package/2006/relationships"><Relationship Type="http://schemas.openxmlformats.org/officeDocument/2006/relationships/table" Target="/xl/tables/table5.xml" Id="Rfea8604d8aa94448" /></Relationships>
</file>

<file path=xl/worksheets/_rels/sheet8.xml.rels>&#65279;<?xml version="1.0" encoding="utf-8"?><Relationships xmlns="http://schemas.openxmlformats.org/package/2006/relationships"><Relationship Type="http://schemas.openxmlformats.org/officeDocument/2006/relationships/table" Target="/xl/tables/table6.xml" Id="Ra6cf8f1caa8d48ce" /></Relationships>
</file>

<file path=xl/worksheets/_rels/sheet9.xml.rels>&#65279;<?xml version="1.0" encoding="utf-8"?><Relationships xmlns="http://schemas.openxmlformats.org/package/2006/relationships"><Relationship Type="http://schemas.openxmlformats.org/officeDocument/2006/relationships/table" Target="/xl/tables/table7.xml" Id="R3d35b913bede4817" /></Relationships>
</file>

<file path=xl/worksheets/_rels/sheet10.xml.rels>&#65279;<?xml version="1.0" encoding="utf-8"?><Relationships xmlns="http://schemas.openxmlformats.org/package/2006/relationships"><Relationship Type="http://schemas.openxmlformats.org/officeDocument/2006/relationships/table" Target="/xl/tables/table8.xml" Id="R2222af29d5d245d5"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32" customHeight="1">
      <x:c r="A1" s="3" t="str">
        <x:v>EaseGlobal Browser 异常实操测试报告</x:v>
      </x:c>
      <x:c r="B1" s="3"/>
      <x:c r="C1" s="3"/>
      <x:c r="D1" s="3"/>
      <x:c r="E1" s="3"/>
      <x:c r="F1" s="3"/>
      <x:c r="G1" s="3"/>
      <x:c r="H1" s="3"/>
      <x:c r="I1" s="3"/>
      <x:c r="J1" s="3"/>
      <x:c r="K1" s="3"/>
      <x:c r="L1" s="3"/>
    </x:row>
    <x:row r="2" ht="34" customHeight="1">
      <x:c r="A2" s="7" t="str">
        <x:v>Excel 阅读与回填版｜转换日期：2026-08-17｜平台实际反馈与产品设计期望分开呈现</x:v>
      </x:c>
      <x:c r="B2" s="7"/>
      <x:c r="C2" s="7"/>
      <x:c r="D2" s="7"/>
      <x:c r="E2" s="7"/>
      <x:c r="F2" s="7"/>
      <x:c r="G2" s="7"/>
      <x:c r="H2" s="7"/>
      <x:c r="I2" s="7"/>
      <x:c r="J2" s="7"/>
      <x:c r="K2" s="7"/>
      <x:c r="L2" s="7"/>
    </x:row>
    <x:row r="3">
      <x:c r="A3" s="88"/>
      <x:c r="B3" s="88"/>
      <x:c r="C3" s="88"/>
      <x:c r="D3" s="88"/>
      <x:c r="E3" s="88"/>
      <x:c r="F3" s="88"/>
      <x:c r="G3" s="88"/>
      <x:c r="H3" s="88"/>
      <x:c r="I3" s="88"/>
      <x:c r="J3" s="88"/>
      <x:c r="K3" s="88"/>
      <x:c r="L3" s="88"/>
    </x:row>
    <x:row r="4">
      <x:c r="A4" s="28" t="str">
        <x:v>场景总数</x:v>
      </x:c>
      <x:c r="B4" s="28"/>
      <x:c r="C4" s="88"/>
      <x:c r="D4" s="35" t="str">
        <x:v>已有实操</x:v>
      </x:c>
      <x:c r="E4" s="35"/>
      <x:c r="F4" s="88"/>
      <x:c r="G4" s="42" t="str">
        <x:v>待实操</x:v>
      </x:c>
      <x:c r="H4" s="42"/>
      <x:c r="I4" s="88"/>
      <x:c r="J4" s="49" t="str">
        <x:v>P0 高风险</x:v>
      </x:c>
      <x:c r="K4" s="49"/>
      <x:c r="L4" s="88"/>
    </x:row>
    <x:row r="5">
      <x:c r="A5" s="31" t="n">
        <x:f>COUNTA('场景总表'!$A$5:$A$179)</x:f>
        <x:v>175</x:v>
      </x:c>
      <x:c r="B5" s="31"/>
      <x:c r="C5" s="88"/>
      <x:c r="D5" s="38" t="n">
        <x:f>COUNTIF('场景总表'!$C$5:$C$179,"已实操")+COUNTIF('场景总表'!$C$5:$C$179,"已实操，重点")+COUNTIF('场景总表'!$C$5:$C$179,"部分实操")</x:f>
        <x:v>17</x:v>
      </x:c>
      <x:c r="E5" s="38"/>
      <x:c r="F5" s="88"/>
      <x:c r="G5" s="45" t="n">
        <x:f>COUNTIF('场景总表'!$C$5:$C$179,"待实操")</x:f>
        <x:v>158</x:v>
      </x:c>
      <x:c r="H5" s="45"/>
      <x:c r="I5" s="88"/>
      <x:c r="J5" s="52" t="n">
        <x:f>COUNTIF('场景总表'!$D$5:$D$179,"P0")</x:f>
        <x:v>100</x:v>
      </x:c>
      <x:c r="K5" s="52"/>
      <x:c r="L5" s="88"/>
    </x:row>
    <x:row r="6">
      <x:c r="A6" s="31"/>
      <x:c r="B6" s="31"/>
      <x:c r="C6" s="88"/>
      <x:c r="D6" s="38"/>
      <x:c r="E6" s="38"/>
      <x:c r="F6" s="88"/>
      <x:c r="G6" s="45"/>
      <x:c r="H6" s="45"/>
      <x:c r="I6" s="88"/>
      <x:c r="J6" s="52"/>
      <x:c r="K6" s="52"/>
      <x:c r="L6" s="88"/>
    </x:row>
    <x:row r="7">
      <x:c r="A7" s="88"/>
      <x:c r="B7" s="88"/>
      <x:c r="C7" s="88"/>
      <x:c r="D7" s="88"/>
      <x:c r="E7" s="88"/>
      <x:c r="F7" s="88"/>
      <x:c r="G7" s="88"/>
      <x:c r="H7" s="88"/>
      <x:c r="I7" s="88"/>
      <x:c r="J7" s="88"/>
      <x:c r="K7" s="88"/>
      <x:c r="L7" s="88"/>
    </x:row>
    <x:row r="8">
      <x:c r="A8" s="56" t="str">
        <x:v>模块</x:v>
      </x:c>
      <x:c r="B8" s="56" t="str">
        <x:v>场景数</x:v>
      </x:c>
      <x:c r="C8" s="56" t="str">
        <x:v>占比</x:v>
      </x:c>
      <x:c r="D8" s="88"/>
      <x:c r="E8" s="56" t="str">
        <x:v>优先级</x:v>
      </x:c>
      <x:c r="F8" s="56" t="str">
        <x:v>场景数</x:v>
      </x:c>
      <x:c r="G8" s="88"/>
      <x:c r="H8" s="56" t="str">
        <x:v>实操状态</x:v>
      </x:c>
      <x:c r="I8" s="56" t="str">
        <x:v>场景数</x:v>
      </x:c>
      <x:c r="J8" s="88"/>
      <x:c r="K8" s="88"/>
      <x:c r="L8" s="88"/>
    </x:row>
    <x:row r="9">
      <x:c r="A9" s="59" t="str">
        <x:v>官网与活动</x:v>
      </x:c>
      <x:c r="B9" s="59" t="n">
        <x:f>COUNTIF('场景总表'!$B$5:$B$179,A9)</x:f>
        <x:v>13</x:v>
      </x:c>
      <x:c r="C9" s="60" t="n">
        <x:f>B9/$A$5</x:f>
        <x:v>0.07428571428571429</x:v>
      </x:c>
      <x:c r="D9" s="88"/>
      <x:c r="E9" s="62" t="str">
        <x:v>P0</x:v>
      </x:c>
      <x:c r="F9" s="62" t="n">
        <x:f>COUNTIF('场景总表'!$D$5:$D$179,E9)</x:f>
        <x:v>100</x:v>
      </x:c>
      <x:c r="G9" s="88"/>
      <x:c r="H9" s="62" t="str">
        <x:v>已实操</x:v>
      </x:c>
      <x:c r="I9" s="62" t="n">
        <x:f>COUNTIF('场景总表'!$C$5:$C$179,"已实操")+COUNTIF('场景总表'!$C$5:$C$179,"已实操，重点")+COUNTIF('场景总表'!$C$5:$C$179,"部分实操")</x:f>
        <x:v>17</x:v>
      </x:c>
      <x:c r="J9" s="88"/>
      <x:c r="K9" s="88"/>
      <x:c r="L9" s="88"/>
    </x:row>
    <x:row r="10">
      <x:c r="A10" s="59" t="str">
        <x:v>下载与更新</x:v>
      </x:c>
      <x:c r="B10" s="59" t="n">
        <x:f>COUNTIF('场景总表'!$B$5:$B$179,A10)</x:f>
        <x:v>11</x:v>
      </x:c>
      <x:c r="C10" s="60" t="n">
        <x:f>B10/$A$5</x:f>
        <x:v>0.06285714285714286</x:v>
      </x:c>
      <x:c r="D10" s="88"/>
      <x:c r="E10" s="62" t="str">
        <x:v>P1</x:v>
      </x:c>
      <x:c r="F10" s="62" t="n">
        <x:f>COUNTIF('场景总表'!$D$5:$D$179,E10)</x:f>
        <x:v>57</x:v>
      </x:c>
      <x:c r="G10" s="88"/>
      <x:c r="H10" s="62" t="str">
        <x:v>待实操</x:v>
      </x:c>
      <x:c r="I10" s="62" t="n">
        <x:f>COUNTIF('场景总表'!$C$5:$C$179,"待实操")</x:f>
        <x:v>158</x:v>
      </x:c>
      <x:c r="J10" s="88"/>
      <x:c r="K10" s="88"/>
      <x:c r="L10" s="88"/>
    </x:row>
    <x:row r="11">
      <x:c r="A11" s="59" t="str">
        <x:v>注册与短信</x:v>
      </x:c>
      <x:c r="B11" s="59" t="n">
        <x:f>COUNTIF('场景总表'!$B$5:$B$179,A11)</x:f>
        <x:v>25</x:v>
      </x:c>
      <x:c r="C11" s="60" t="n">
        <x:f>B11/$A$5</x:f>
        <x:v>0.14285714285714285</x:v>
      </x:c>
      <x:c r="D11" s="88"/>
      <x:c r="E11" s="62" t="str">
        <x:v>P2</x:v>
      </x:c>
      <x:c r="F11" s="62" t="n">
        <x:f>COUNTIF('场景总表'!$D$5:$D$179,E11)</x:f>
        <x:v>1</x:v>
      </x:c>
      <x:c r="G11" s="88"/>
      <x:c r="H11" s="88"/>
      <x:c r="I11" s="88"/>
      <x:c r="J11" s="88"/>
      <x:c r="K11" s="88"/>
      <x:c r="L11" s="88"/>
    </x:row>
    <x:row r="12">
      <x:c r="A12" s="59" t="str">
        <x:v>登录与账号</x:v>
      </x:c>
      <x:c r="B12" s="59" t="n">
        <x:f>COUNTIF('场景总表'!$B$5:$B$179,A12)</x:f>
        <x:v>12</x:v>
      </x:c>
      <x:c r="C12" s="60" t="n">
        <x:f>B12/$A$5</x:f>
        <x:v>0.06857142857142857</x:v>
      </x:c>
      <x:c r="D12" s="88"/>
      <x:c r="E12" s="88"/>
      <x:c r="F12" s="88"/>
      <x:c r="G12" s="88"/>
      <x:c r="H12" s="88"/>
      <x:c r="I12" s="88"/>
      <x:c r="J12" s="88"/>
      <x:c r="K12" s="88"/>
      <x:c r="L12" s="88"/>
    </x:row>
    <x:row r="13">
      <x:c r="A13" s="59" t="str">
        <x:v>应用框架</x:v>
      </x:c>
      <x:c r="B13" s="59" t="n">
        <x:f>COUNTIF('场景总表'!$B$5:$B$179,A13)</x:f>
        <x:v>9</x:v>
      </x:c>
      <x:c r="C13" s="60" t="n">
        <x:f>B13/$A$5</x:f>
        <x:v>0.05142857142857143</x:v>
      </x:c>
      <x:c r="D13" s="88"/>
      <x:c r="E13" s="88"/>
      <x:c r="F13" s="88"/>
      <x:c r="G13" s="88"/>
      <x:c r="H13" s="88"/>
      <x:c r="I13" s="88"/>
      <x:c r="J13" s="88"/>
      <x:c r="K13" s="88"/>
      <x:c r="L13" s="88"/>
    </x:row>
    <x:row r="14">
      <x:c r="A14" s="59" t="str">
        <x:v>店铺环境</x:v>
      </x:c>
      <x:c r="B14" s="59" t="n">
        <x:f>COUNTIF('场景总表'!$B$5:$B$179,A14)</x:f>
        <x:v>15</x:v>
      </x:c>
      <x:c r="C14" s="60" t="n">
        <x:f>B14/$A$5</x:f>
        <x:v>0.08571428571428572</x:v>
      </x:c>
      <x:c r="D14" s="88"/>
      <x:c r="E14" s="88"/>
      <x:c r="F14" s="88"/>
      <x:c r="G14" s="88"/>
      <x:c r="H14" s="88"/>
      <x:c r="I14" s="88"/>
      <x:c r="J14" s="88"/>
      <x:c r="K14" s="88"/>
      <x:c r="L14" s="88"/>
    </x:row>
    <x:row r="15">
      <x:c r="A15" s="59" t="str">
        <x:v>设备与IP</x:v>
      </x:c>
      <x:c r="B15" s="59" t="n">
        <x:f>COUNTIF('场景总表'!$B$5:$B$179,A15)</x:f>
        <x:v>15</x:v>
      </x:c>
      <x:c r="C15" s="60" t="n">
        <x:f>B15/$A$5</x:f>
        <x:v>0.08571428571428572</x:v>
      </x:c>
      <x:c r="D15" s="88"/>
      <x:c r="E15" s="88"/>
      <x:c r="F15" s="88"/>
      <x:c r="G15" s="88"/>
      <x:c r="H15" s="88"/>
      <x:c r="I15" s="88"/>
      <x:c r="J15" s="88"/>
      <x:c r="K15" s="88"/>
      <x:c r="L15" s="88"/>
    </x:row>
    <x:row r="16">
      <x:c r="A16" s="59" t="str">
        <x:v>团队与权限</x:v>
      </x:c>
      <x:c r="B16" s="59" t="n">
        <x:f>COUNTIF('场景总表'!$B$5:$B$179,A16)</x:f>
        <x:v>14</x:v>
      </x:c>
      <x:c r="C16" s="60" t="n">
        <x:f>B16/$A$5</x:f>
        <x:v>0.08</x:v>
      </x:c>
      <x:c r="D16" s="88"/>
      <x:c r="E16" s="88"/>
      <x:c r="F16" s="88"/>
      <x:c r="G16" s="88"/>
      <x:c r="H16" s="88"/>
      <x:c r="I16" s="88"/>
      <x:c r="J16" s="88"/>
      <x:c r="K16" s="88"/>
      <x:c r="L16" s="88"/>
    </x:row>
    <x:row r="17">
      <x:c r="A17" s="59" t="str">
        <x:v>安全与监控</x:v>
      </x:c>
      <x:c r="B17" s="59" t="n">
        <x:f>COUNTIF('场景总表'!$B$5:$B$179,A17)</x:f>
        <x:v>11</x:v>
      </x:c>
      <x:c r="C17" s="60" t="n">
        <x:f>B17/$A$5</x:f>
        <x:v>0.06285714285714286</x:v>
      </x:c>
      <x:c r="D17" s="88"/>
      <x:c r="E17" s="88"/>
      <x:c r="F17" s="88"/>
      <x:c r="G17" s="88"/>
      <x:c r="H17" s="88"/>
      <x:c r="I17" s="88"/>
      <x:c r="J17" s="88"/>
      <x:c r="K17" s="88"/>
      <x:c r="L17" s="88"/>
    </x:row>
    <x:row r="18">
      <x:c r="A18" s="59" t="str">
        <x:v>费用与支付</x:v>
      </x:c>
      <x:c r="B18" s="59" t="n">
        <x:f>COUNTIF('场景总表'!$B$5:$B$179,A18)</x:f>
        <x:v>18</x:v>
      </x:c>
      <x:c r="C18" s="60" t="n">
        <x:f>B18/$A$5</x:f>
        <x:v>0.10285714285714286</x:v>
      </x:c>
      <x:c r="D18" s="88"/>
      <x:c r="E18" s="88"/>
      <x:c r="F18" s="88"/>
      <x:c r="G18" s="88"/>
      <x:c r="H18" s="88"/>
      <x:c r="I18" s="88"/>
      <x:c r="J18" s="88"/>
      <x:c r="K18" s="88"/>
      <x:c r="L18" s="88"/>
    </x:row>
    <x:row r="19">
      <x:c r="A19" s="59" t="str">
        <x:v>插件工具</x:v>
      </x:c>
      <x:c r="B19" s="59" t="n">
        <x:f>COUNTIF('场景总表'!$B$5:$B$179,A19)</x:f>
        <x:v>11</x:v>
      </x:c>
      <x:c r="C19" s="60" t="n">
        <x:f>B19/$A$5</x:f>
        <x:v>0.06285714285714286</x:v>
      </x:c>
      <x:c r="D19" s="88"/>
      <x:c r="E19" s="88"/>
      <x:c r="F19" s="88"/>
      <x:c r="G19" s="88"/>
      <x:c r="H19" s="88"/>
      <x:c r="I19" s="88"/>
      <x:c r="J19" s="88"/>
      <x:c r="K19" s="88"/>
      <x:c r="L19" s="88"/>
    </x:row>
    <x:row r="20">
      <x:c r="A20" s="59" t="str">
        <x:v>Agent与MCP</x:v>
      </x:c>
      <x:c r="B20" s="59" t="n">
        <x:f>COUNTIF('场景总表'!$B$5:$B$179,A20)</x:f>
        <x:v>9</x:v>
      </x:c>
      <x:c r="C20" s="60" t="n">
        <x:f>B20/$A$5</x:f>
        <x:v>0.05142857142857143</x:v>
      </x:c>
      <x:c r="D20" s="88"/>
      <x:c r="E20" s="88"/>
      <x:c r="F20" s="88"/>
      <x:c r="G20" s="88"/>
      <x:c r="H20" s="88"/>
      <x:c r="I20" s="88"/>
      <x:c r="J20" s="88"/>
      <x:c r="K20" s="88"/>
      <x:c r="L20" s="88"/>
    </x:row>
    <x:row r="21">
      <x:c r="A21" s="59" t="str">
        <x:v>客服与帮助</x:v>
      </x:c>
      <x:c r="B21" s="59" t="n">
        <x:f>COUNTIF('场景总表'!$B$5:$B$179,A21)</x:f>
        <x:v>6</x:v>
      </x:c>
      <x:c r="C21" s="60" t="n">
        <x:f>B21/$A$5</x:f>
        <x:v>0.03428571428571429</x:v>
      </x:c>
      <x:c r="D21" s="88"/>
      <x:c r="E21" s="88"/>
      <x:c r="F21" s="88"/>
      <x:c r="G21" s="88"/>
      <x:c r="H21" s="88"/>
      <x:c r="I21" s="88"/>
      <x:c r="J21" s="88"/>
      <x:c r="K21" s="88"/>
      <x:c r="L21" s="88"/>
    </x:row>
    <x:row r="22">
      <x:c r="A22" s="59" t="str">
        <x:v>移动与可靠性</x:v>
      </x:c>
      <x:c r="B22" s="59" t="n">
        <x:f>COUNTIF('场景总表'!$B$5:$B$179,A22)</x:f>
        <x:v>6</x:v>
      </x:c>
      <x:c r="C22" s="60" t="n">
        <x:f>B22/$A$5</x:f>
        <x:v>0.03428571428571429</x:v>
      </x:c>
      <x:c r="D22" s="88"/>
      <x:c r="E22" s="88"/>
      <x:c r="F22" s="88"/>
      <x:c r="G22" s="88"/>
      <x:c r="H22" s="88"/>
      <x:c r="I22" s="88"/>
      <x:c r="J22" s="88"/>
      <x:c r="K22" s="88"/>
      <x:c r="L22" s="88"/>
    </x:row>
    <x:row r="23">
      <x:c r="A23" s="88"/>
      <x:c r="B23" s="88"/>
      <x:c r="C23" s="88"/>
      <x:c r="D23" s="88"/>
      <x:c r="E23" s="88"/>
      <x:c r="F23" s="88"/>
      <x:c r="G23" s="88"/>
      <x:c r="H23" s="88"/>
      <x:c r="I23" s="88"/>
      <x:c r="J23" s="88"/>
      <x:c r="K23" s="88"/>
      <x:c r="L23" s="88"/>
    </x:row>
    <x:row r="24">
      <x:c r="A24" s="88"/>
      <x:c r="B24" s="88"/>
      <x:c r="C24" s="88"/>
      <x:c r="D24" s="88"/>
      <x:c r="E24" s="88"/>
      <x:c r="F24" s="88"/>
      <x:c r="G24" s="88"/>
      <x:c r="H24" s="88"/>
      <x:c r="I24" s="88"/>
      <x:c r="J24" s="88"/>
      <x:c r="K24" s="88"/>
      <x:c r="L24" s="88"/>
    </x:row>
    <x:row r="25">
      <x:c r="A25" s="64" t="str">
        <x:v>已核实重点结论</x:v>
      </x:c>
      <x:c r="B25" s="64"/>
      <x:c r="C25" s="64"/>
      <x:c r="D25" s="64"/>
      <x:c r="E25" s="64"/>
      <x:c r="F25" s="64"/>
      <x:c r="G25" s="64"/>
      <x:c r="H25" s="64"/>
      <x:c r="I25" s="64"/>
      <x:c r="J25" s="64"/>
      <x:c r="K25" s="64"/>
      <x:c r="L25" s="64"/>
    </x:row>
    <x:row r="26" ht="42" customHeight="1">
      <x:c r="A26" s="75" t="n">
        <x:v>1</x:v>
      </x:c>
      <x:c r="B26" s="73" t="str">
        <x:v>下载按钮连续点击 56 次仍未出现可见限制，只能证明当次前端没有显式防重复反馈，不能据此认定 CDN、服务端或账号日累计均无限制。</x:v>
      </x:c>
      <x:c r="C26" s="73"/>
      <x:c r="D26" s="73"/>
      <x:c r="E26" s="73"/>
      <x:c r="F26" s="73"/>
      <x:c r="G26" s="73"/>
      <x:c r="H26" s="73"/>
      <x:c r="I26" s="73"/>
      <x:c r="J26" s="73"/>
      <x:c r="K26" s="73"/>
      <x:c r="L26" s="74"/>
    </x:row>
    <x:row r="27" ht="42" customHeight="1">
      <x:c r="A27" s="87" t="n">
        <x:v>2</x:v>
      </x:c>
      <x:c r="B27" s="85" t="str">
        <x:v>同一手机号码串行获取验证码时，页面只表现为每轮 60 秒倒计时；当前样本未触发图形验证或更长周期限制。仍需固定次数、时段、设备和 IP 复测日累计规则。</x:v>
      </x:c>
      <x:c r="C27" s="85"/>
      <x:c r="D27" s="85"/>
      <x:c r="E27" s="85"/>
      <x:c r="F27" s="85"/>
      <x:c r="G27" s="85"/>
      <x:c r="H27" s="85"/>
      <x:c r="I27" s="85"/>
      <x:c r="J27" s="85"/>
      <x:c r="K27" s="85"/>
      <x:c r="L27" s="86"/>
    </x:row>
    <x:row r="28" ht="42" customHeight="1">
      <x:c r="A28" s="75" t="n">
        <x:v>3</x:v>
      </x:c>
      <x:c r="B28" s="73" t="str">
        <x:v>同一手机号码跨注册区块并发取码会被拦截并提示短信验证码发送频繁；不同手机号码并发在当前样本中未被拦截。这说明频控至少可能包含手机号码维度，但不能排除设备、IP、时间窗和风险分共同参与。</x:v>
      </x:c>
      <x:c r="C28" s="73"/>
      <x:c r="D28" s="73"/>
      <x:c r="E28" s="73"/>
      <x:c r="F28" s="73"/>
      <x:c r="G28" s="73"/>
      <x:c r="H28" s="73"/>
      <x:c r="I28" s="73"/>
      <x:c r="J28" s="73"/>
      <x:c r="K28" s="73"/>
      <x:c r="L28" s="74"/>
    </x:row>
    <x:row r="29" ht="42" customHeight="1">
      <x:c r="A29" s="87" t="n">
        <x:v>4</x:v>
      </x:c>
      <x:c r="B29" s="85" t="str">
        <x:v>官网与客户端的手机号、验证码和协议错误文案不统一；重复注册文案中的更滑手机号若截图确认无误，属于明显文字错误，应改为更换手机号。</x:v>
      </x:c>
      <x:c r="C29" s="85"/>
      <x:c r="D29" s="85"/>
      <x:c r="E29" s="85"/>
      <x:c r="F29" s="85"/>
      <x:c r="G29" s="85"/>
      <x:c r="H29" s="85"/>
      <x:c r="I29" s="85"/>
      <x:c r="J29" s="85"/>
      <x:c r="K29" s="85"/>
      <x:c r="L29" s="86"/>
    </x:row>
    <x:row r="30">
      <x:c r="A30" s="88"/>
      <x:c r="B30" s="88"/>
      <x:c r="C30" s="88"/>
      <x:c r="D30" s="88"/>
      <x:c r="E30" s="88"/>
      <x:c r="F30" s="88"/>
      <x:c r="G30" s="88"/>
      <x:c r="H30" s="88"/>
      <x:c r="I30" s="88"/>
      <x:c r="J30" s="88"/>
      <x:c r="K30" s="88"/>
      <x:c r="L30" s="88"/>
    </x:row>
    <x:row r="31">
      <x:c r="A31" s="88"/>
      <x:c r="B31" s="88"/>
      <x:c r="C31" s="88"/>
      <x:c r="D31" s="88"/>
      <x:c r="E31" s="88"/>
      <x:c r="F31" s="88"/>
      <x:c r="G31" s="88"/>
      <x:c r="H31" s="88"/>
      <x:c r="I31" s="88"/>
      <x:c r="J31" s="88"/>
      <x:c r="K31" s="88"/>
      <x:c r="L31" s="88"/>
    </x:row>
    <x:row r="32">
      <x:c r="A32" s="88"/>
      <x:c r="B32" s="88"/>
      <x:c r="C32" s="88"/>
      <x:c r="D32" s="88"/>
      <x:c r="E32" s="88"/>
      <x:c r="F32" s="88"/>
      <x:c r="G32" s="88"/>
      <x:c r="H32" s="88"/>
      <x:c r="I32" s="88"/>
      <x:c r="J32" s="88"/>
      <x:c r="K32" s="88"/>
      <x:c r="L32" s="88"/>
    </x:row>
  </x:sheetData>
  <x:mergeCells>
    <x:mergeCell ref="A1:L1"/>
    <x:mergeCell ref="A2:L2"/>
    <x:mergeCell ref="A4:B4"/>
    <x:mergeCell ref="A5:B6"/>
    <x:mergeCell ref="D4:E4"/>
    <x:mergeCell ref="D5:E6"/>
    <x:mergeCell ref="G4:H4"/>
    <x:mergeCell ref="G5:H6"/>
    <x:mergeCell ref="J4:K4"/>
    <x:mergeCell ref="J5:K6"/>
    <x:mergeCell ref="A25:L25"/>
    <x:mergeCell ref="B26:L26"/>
    <x:mergeCell ref="B27:L27"/>
    <x:mergeCell ref="B28:L28"/>
    <x:mergeCell ref="B29:L29"/>
  </x:mergeCells>
  <x:conditionalFormatting sqref="E9:E11">
    <x:cfRule type="containsText" dxfId="42" priority="1" operator="containsText" text="P0"/>
    <x:cfRule type="containsText" dxfId="43" priority="2" operator="containsText" text="P1"/>
    <x:cfRule type="containsText" dxfId="44" priority="3" operator="containsText" text="P2"/>
  </x:conditionalFormatting>
  <x:conditionalFormatting sqref="H9:H10">
    <x:cfRule type="containsText" dxfId="45" priority="4" operator="containsText" text="已实操"/>
    <x:cfRule type="containsText" dxfId="46" priority="5" operator="containsText" text="待实操"/>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48" hidden="0" customWidth="1"/>
    <x:col min="4" max="4" width="55" hidden="0" customWidth="1"/>
  </x:cols>
  <x:sheetData>
    <x:row r="1" ht="32" customHeight="1">
      <x:c r="A1" s="3" t="str">
        <x:v>使用说明与执行规范</x:v>
      </x:c>
      <x:c r="B1" s="3"/>
      <x:c r="C1" s="3"/>
      <x:c r="D1" s="3"/>
    </x:row>
    <x:row r="2" ht="34" customHeight="1">
      <x:c r="A2" s="7" t="str">
        <x:v>包含报告目标、记录口径、异常提示设计、实操顺序、完成标准和结论边界。</x:v>
      </x:c>
      <x:c r="B2" s="7"/>
      <x:c r="C2" s="7"/>
      <x:c r="D2" s="7"/>
    </x:row>
    <x:row r="4" ht="26" customHeight="1">
      <x:c r="A4" s="64" t="str">
        <x:v>报告目标</x:v>
      </x:c>
      <x:c r="B4" s="64"/>
      <x:c r="C4" s="64"/>
      <x:c r="D4" s="64"/>
    </x:row>
    <x:row r="5" ht="38" customHeight="1">
      <x:c r="A5" s="91" t="n">
        <x:v>1</x:v>
      </x:c>
      <x:c r="B5" s="90" t="str">
        <x:v>让用户知道发生了什么。</x:v>
      </x:c>
      <x:c r="C5" s="90"/>
      <x:c r="D5" s="90"/>
    </x:row>
    <x:row r="6" ht="38" customHeight="1">
      <x:c r="A6" s="94" t="n">
        <x:v>2</x:v>
      </x:c>
      <x:c r="B6" s="93" t="str">
        <x:v>说明本次操作是否生效，避免用户因不确定而重复操作。</x:v>
      </x:c>
      <x:c r="C6" s="93"/>
      <x:c r="D6" s="93"/>
    </x:row>
    <x:row r="7" ht="38" customHeight="1">
      <x:c r="A7" s="91" t="n">
        <x:v>3</x:v>
      </x:c>
      <x:c r="B7" s="90" t="str">
        <x:v>给出明确的等待时间、恢复入口或下一步操作。</x:v>
      </x:c>
      <x:c r="C7" s="90"/>
      <x:c r="D7" s="90"/>
    </x:row>
    <x:row r="8" ht="38" customHeight="1">
      <x:c r="A8" s="94" t="n">
        <x:v>4</x:v>
      </x:c>
      <x:c r="B8" s="93" t="str">
        <x:v>保证重复点击、重试和并发请求不会生成重复账号、订单、扣款、授权或任务。</x:v>
      </x:c>
      <x:c r="C8" s="93"/>
      <x:c r="D8" s="93"/>
    </x:row>
    <x:row r="9" ht="38" customHeight="1">
      <x:c r="A9" s="91" t="n">
        <x:v>5</x:v>
      </x:c>
      <x:c r="B9" s="90" t="str">
        <x:v>在不泄露账号、凭证、店铺、IP 和团队敏感信息的前提下保留可追踪日志。</x:v>
      </x:c>
      <x:c r="C9" s="90"/>
      <x:c r="D9" s="90"/>
    </x:row>
    <x:row r="11" ht="26" customHeight="1">
      <x:c r="A11" s="64" t="str">
        <x:v>状态与记录规则</x:v>
      </x:c>
      <x:c r="B11" s="64"/>
      <x:c r="C11" s="64"/>
      <x:c r="D11" s="64"/>
    </x:row>
    <x:row r="12">
      <x:c r="A12" s="95" t="str">
        <x:v>项目</x:v>
      </x:c>
      <x:c r="B12" s="95" t="str">
        <x:v>记录规则</x:v>
      </x:c>
      <x:c r="C12" s="95" t="str"/>
      <x:c r="D12" s="95" t="str"/>
    </x:row>
    <x:row r="13" ht="42" customHeight="1">
      <x:c r="A13" s="99" t="str">
        <x:v>实操状态</x:v>
      </x:c>
      <x:c r="B13" s="98" t="str">
        <x:v>已实操表示已有真实操作结果；部分实操表示只完成前端或非破坏性步骤；待实操表示尚未验证平台反馈。</x:v>
      </x:c>
      <x:c r="C13" s="98"/>
      <x:c r="D13" s="98"/>
    </x:row>
    <x:row r="14" ht="42" customHeight="1">
      <x:c r="A14" s="102" t="str">
        <x:v>平台实际反馈</x:v>
      </x:c>
      <x:c r="B14" s="101" t="str">
        <x:v>逐字记录界面显示的字段错误、Toast、弹窗标题、正文和按钮，不做同义改写。</x:v>
      </x:c>
      <x:c r="C14" s="101"/>
      <x:c r="D14" s="101"/>
    </x:row>
    <x:row r="15" ht="42" customHeight="1">
      <x:c r="A15" s="99" t="str">
        <x:v>产品设计期望</x:v>
      </x:c>
      <x:c r="B15" s="98" t="str">
        <x:v>对按钮状态、异常文案、业务结果、冷却时间、日志和恢复方式的建议，不代表平台当前已实现。</x:v>
      </x:c>
      <x:c r="C15" s="98"/>
      <x:c r="D15" s="98"/>
    </x:row>
    <x:row r="16" ht="42" customHeight="1">
      <x:c r="A16" s="102" t="str">
        <x:v>版本与环境</x:v>
      </x:c>
      <x:c r="B16" s="101" t="str">
        <x:v>必须记录网页日期或客户端版本/构建号、操作系统、设备标识、出口 IP 和归属地；未知项写未记录，不能推测。</x:v>
      </x:c>
      <x:c r="C16" s="101"/>
      <x:c r="D16" s="101"/>
    </x:row>
    <x:row r="17" ht="42" customHeight="1">
      <x:c r="A17" s="99" t="str">
        <x:v>操作次数</x:v>
      </x:c>
      <x:c r="B17" s="98" t="str">
        <x:v>串行次数与并发数分别记录，例如串行 10 次；并发 2，不能只写“多次”。</x:v>
      </x:c>
      <x:c r="C17" s="98"/>
      <x:c r="D17" s="98"/>
    </x:row>
    <x:row r="18" ht="42" customHeight="1">
      <x:c r="A18" s="102" t="str">
        <x:v>业务结果</x:v>
      </x:c>
      <x:c r="B18" s="101" t="str">
        <x:v>不只记录提示，还要确认是否实际发送短信、创建账号、下载文件、生成订单、扣款、变更授权或写入日志。</x:v>
      </x:c>
      <x:c r="C18" s="101"/>
      <x:c r="D18" s="101"/>
    </x:row>
    <x:row r="19" ht="42" customHeight="1">
      <x:c r="A19" s="99" t="str">
        <x:v>冷却时间</x:v>
      </x:c>
      <x:c r="B19" s="98" t="str">
        <x:v>记录按钮倒计时、服务端恢复时间和重新进入页面后的剩余时间；若界面未显示，写未告知。</x:v>
      </x:c>
      <x:c r="C19" s="98"/>
      <x:c r="D19" s="98"/>
    </x:row>
    <x:row r="20" ht="42" customHeight="1">
      <x:c r="A20" s="102" t="str">
        <x:v>截图或录屏</x:v>
      </x:c>
      <x:c r="B20" s="101" t="str">
        <x:v>文件名建议包含场景 ID、版本、角色和时间，例如AB-SMS-005_v2.1.0_member_20260814.mp4。</x:v>
      </x:c>
      <x:c r="C20" s="101"/>
      <x:c r="D20" s="101"/>
    </x:row>
    <x:row r="22" ht="26" customHeight="1">
      <x:c r="A22" s="64" t="str">
        <x:v>异常提示设计规则</x:v>
      </x:c>
      <x:c r="B22" s="64"/>
      <x:c r="C22" s="64"/>
      <x:c r="D22" s="64"/>
    </x:row>
    <x:row r="23">
      <x:c r="A23" s="104" t="str">
        <x:v>异常类型</x:v>
      </x:c>
      <x:c r="B23" s="104" t="str">
        <x:v>推荐反馈载体</x:v>
      </x:c>
      <x:c r="C23" s="104" t="str">
        <x:v>文案结构</x:v>
      </x:c>
      <x:c r="D23" s="104" t="str">
        <x:v>按钮与业务规则</x:v>
      </x:c>
    </x:row>
    <x:row r="24" ht="52" customHeight="1">
      <x:c r="A24" s="105" t="str">
        <x:v>字段缺失或格式错误</x:v>
      </x:c>
      <x:c r="B24" s="105" t="str">
        <x:v>字段下方行内提示</x:v>
      </x:c>
      <x:c r="C24" s="105" t="str">
        <x:v>问题 + 修正要求，例如手机号码格式不正确</x:v>
      </x:c>
      <x:c r="D24" s="105" t="str">
        <x:v>输入未修正前不发起请求；焦点定位首个错误字段。</x:v>
      </x:c>
    </x:row>
    <x:row r="25" ht="52" customHeight="1">
      <x:c r="A25" s="105" t="str">
        <x:v>短暂成功或轻量失败</x:v>
      </x:c>
      <x:c r="B25" s="105" t="str">
        <x:v>Toast</x:v>
      </x:c>
      <x:c r="C25" s="105" t="str">
        <x:v>结果 + 下一步，例如验证码已发送，请查收短信</x:v>
      </x:c>
      <x:c r="D25" s="105" t="str">
        <x:v>Toast 不代替关键状态；按钮同步进入倒计时或恢复可点击。</x:v>
      </x:c>
    </x:row>
    <x:row r="26" ht="52" customHeight="1">
      <x:c r="A26" s="105" t="str">
        <x:v>频控、风控或等待</x:v>
      </x:c>
      <x:c r="B26" s="105" t="str">
        <x:v>Toast + 按钮倒计时</x:v>
      </x:c>
      <x:c r="C26" s="105" t="str">
        <x:v>原因 + 精确恢复时间，例如获取次数过多，请于 14:30 后重试</x:v>
      </x:c>
      <x:c r="D26" s="105" t="str">
        <x:v>前端倒计时必须与服务端限制一致，刷新或换入口不能绕过。</x:v>
      </x:c>
    </x:row>
    <x:row r="27" ht="52" customHeight="1">
      <x:c r="A27" s="105" t="str">
        <x:v>高风险或不可逆操作</x:v>
      </x:c>
      <x:c r="B27" s="105" t="str">
        <x:v>二次确认弹窗</x:v>
      </x:c>
      <x:c r="C27" s="105" t="str">
        <x:v>对象 + 影响范围 + 是否可恢复</x:v>
      </x:c>
      <x:c r="D27" s="105" t="str">
        <x:v>确认按钮使用明确动作名，如删除店铺，不能只写确定。</x:v>
      </x:c>
    </x:row>
    <x:row r="28" ht="52" customHeight="1">
      <x:c r="A28" s="105" t="str">
        <x:v>权限不足</x:v>
      </x:c>
      <x:c r="B28" s="105" t="str">
        <x:v>页面内提示或 403 页面</x:v>
      </x:c>
      <x:c r="C28" s="105" t="str">
        <x:v>缺少的能力 + 申请路径</x:v>
      </x:c>
      <x:c r="D28" s="105" t="str">
        <x:v>前端隐藏与服务端拦截同时存在，不暴露无权对象详情。</x:v>
      </x:c>
    </x:row>
    <x:row r="29" ht="52" customHeight="1">
      <x:c r="A29" s="105" t="str">
        <x:v>网络或系统错误</x:v>
      </x:c>
      <x:c r="B29" s="105" t="str">
        <x:v>局部错误态或错误页</x:v>
      </x:c>
      <x:c r="C29" s="105" t="str">
        <x:v>失败原因 + 是否生效 + 重试入口 + 追踪码</x:v>
      </x:c>
      <x:c r="D29" s="105" t="str">
        <x:v>重试使用幂等键；不得因重复提交创建重复业务对象。</x:v>
      </x:c>
    </x:row>
    <x:row r="30" ht="52" customHeight="1">
      <x:c r="A30" s="105" t="str">
        <x:v>支付与资金异常</x:v>
      </x:c>
      <x:c r="B30" s="105" t="str">
        <x:v>结果页 + 订单状态</x:v>
      </x:c>
      <x:c r="C30" s="105" t="str">
        <x:v>支付状态 + 资金状态 + 查询/申诉入口</x:v>
      </x:c>
      <x:c r="D30" s="105" t="str">
        <x:v>状态未知时禁止再次扣款；先查单，再允许重试。</x:v>
      </x:c>
    </x:row>
    <x:row r="31" ht="52" customHeight="1">
      <x:c r="A31" s="105" t="str">
        <x:v>批量操作</x:v>
      </x:c>
      <x:c r="B31" s="105" t="str">
        <x:v>结果弹窗或结果页</x:v>
      </x:c>
      <x:c r="C31" s="105" t="str">
        <x:v>成功数 + 失败数 + 失败原因 + 下载明细</x:v>
      </x:c>
      <x:c r="D31" s="105" t="str">
        <x:v>成功项不回滚时需明确；失败项可单独重试。</x:v>
      </x:c>
    </x:row>
    <x:row r="33" ht="26" customHeight="1">
      <x:c r="A33" s="64" t="str">
        <x:v>建议实操顺序</x:v>
      </x:c>
      <x:c r="B33" s="64"/>
      <x:c r="C33" s="64"/>
      <x:c r="D33" s="64"/>
    </x:row>
    <x:row r="34" ht="42" customHeight="1">
      <x:c r="A34" s="108" t="str">
        <x:v>第一批：不产生资金与外部影响的 P0/P1 场景</x:v>
      </x:c>
      <x:c r="B34" s="107" t="str">
        <x:v>下载重复点击：ACT-DL-001、DL-002、DL-005、DL-009。</x:v>
      </x:c>
      <x:c r="C34" s="107"/>
      <x:c r="D34" s="107"/>
    </x:row>
    <x:row r="35" ht="42" customHeight="1">
      <x:c r="A35" s="102" t="str">
        <x:v>第一批：不产生资金与外部影响的 P0/P1 场景</x:v>
      </x:c>
      <x:c r="B35" s="101" t="str">
        <x:v>注册与验证码：ACT-SMS-001至ACT-SMS-003、SMS-001至SMS-011。只使用本人可控手机号码，避免批量触发短信成本或影响第三方号码。</x:v>
      </x:c>
      <x:c r="C35" s="101"/>
      <x:c r="D35" s="101"/>
    </x:row>
    <x:row r="36" ht="42" customHeight="1">
      <x:c r="A36" s="108" t="str">
        <x:v>第一批：不产生资金与外部影响的 P0/P1 场景</x:v>
      </x:c>
      <x:c r="B36" s="107" t="str">
        <x:v>登录与会话：AUTH-001至AUTH-007、APP-003至APP-006。</x:v>
      </x:c>
      <x:c r="C36" s="107"/>
      <x:c r="D36" s="107"/>
    </x:row>
    <x:row r="37" ht="42" customHeight="1">
      <x:c r="A37" s="102" t="str">
        <x:v>第一批：不产生资金与外部影响的 P0/P1 场景</x:v>
      </x:c>
      <x:c r="B37" s="101" t="str">
        <x:v>移动端官网：ACT-WEB-002、WEB-003至WEB-007。</x:v>
      </x:c>
      <x:c r="C37" s="101"/>
      <x:c r="D37" s="101"/>
    </x:row>
    <x:row r="38" ht="42" customHeight="1">
      <x:c r="A38" s="108" t="str">
        <x:v>第一批：不产生资金与外部影响的 P0/P1 场景</x:v>
      </x:c>
      <x:c r="B38" s="107" t="str">
        <x:v>帮助、反馈与客服：SUP-001、SUP-002、SUP-006，不实际提交敏感日志和真实业务数据。</x:v>
      </x:c>
      <x:c r="C38" s="107"/>
      <x:c r="D38" s="107"/>
    </x:row>
    <x:row r="39" ht="42" customHeight="1">
      <x:c r="A39" s="102" t="str">
        <x:v>第二批：使用专用测试团队和测试资产</x:v>
      </x:c>
      <x:c r="B39" s="101" t="str">
        <x:v>店铺启动、并发和配置：STORE-001至STORE-009。</x:v>
      </x:c>
      <x:c r="C39" s="101"/>
      <x:c r="D39" s="101"/>
    </x:row>
    <x:row r="40" ht="42" customHeight="1">
      <x:c r="A40" s="108" t="str">
        <x:v>第二批：使用专用测试团队和测试资产</x:v>
      </x:c>
      <x:c r="B40" s="107" t="str">
        <x:v>团队、成员、角色和授权：TEAM-001至TEAM-014。</x:v>
      </x:c>
      <x:c r="C40" s="107"/>
      <x:c r="D40" s="107"/>
    </x:row>
    <x:row r="41" ht="42" customHeight="1">
      <x:c r="A41" s="102" t="str">
        <x:v>第二批：使用专用测试团队和测试资产</x:v>
      </x:c>
      <x:c r="B41" s="101" t="str">
        <x:v>安全策略和监控：SEC-001至SEC-010。</x:v>
      </x:c>
      <x:c r="C41" s="101"/>
      <x:c r="D41" s="101"/>
    </x:row>
    <x:row r="42" ht="42" customHeight="1">
      <x:c r="A42" s="108" t="str">
        <x:v>第二批：使用专用测试团队和测试资产</x:v>
      </x:c>
      <x:c r="B42" s="107" t="str">
        <x:v>插件、Agent 与 MCP：EXT-001至EXT-011、AGT-001至MCP-002。</x:v>
      </x:c>
      <x:c r="C42" s="107"/>
      <x:c r="D42" s="107"/>
    </x:row>
    <x:row r="43" ht="44" customHeight="1">
      <x:c r="A43" s="112" t="str">
        <x:v>测试团队不得包含真实客户店铺、生产凭证或无法恢复的数据。Cookie、OTP、Passkey、代理密码和 MCP 密钥使用专用测试值；录屏前关闭系统通知并遮盖敏感信息。</x:v>
      </x:c>
      <x:c r="B43" s="112"/>
      <x:c r="C43" s="112"/>
      <x:c r="D43" s="112"/>
    </x:row>
    <x:row r="44" ht="44" customHeight="1">
      <x:c r="A44" s="112" t="str">
        <x:v>以下场景必须使用最小金额、可退款/可核销的测试条件或平台明确提供的沙箱能力，并在执行前确认数据恢复方案：</x:v>
      </x:c>
      <x:c r="B44" s="112"/>
      <x:c r="C44" s="112"/>
      <x:c r="D44" s="112"/>
    </x:row>
    <x:row r="45" ht="42" customHeight="1">
      <x:c r="A45" s="102" t="str">
        <x:v>第三批：资金、删除与不可逆场景</x:v>
      </x:c>
      <x:c r="B45" s="101" t="str">
        <x:v>支付、充值、对公、优惠券、发票和续费：DEV-005至DEV-007、FIN-001至FIN-018。</x:v>
      </x:c>
      <x:c r="C45" s="101"/>
      <x:c r="D45" s="101"/>
    </x:row>
    <x:row r="46" ht="42" customHeight="1">
      <x:c r="A46" s="108" t="str">
        <x:v>第三批：资金、删除与不可逆场景</x:v>
      </x:c>
      <x:c r="B46" s="107" t="str">
        <x:v>清理 Cookie、解绑 Passkey、删除/转让店铺：STORE-010至STORE-015。</x:v>
      </x:c>
      <x:c r="C46" s="107"/>
      <x:c r="D46" s="107"/>
    </x:row>
    <x:row r="47" ht="42" customHeight="1">
      <x:c r="A47" s="102" t="str">
        <x:v>第三批：资金、删除与不可逆场景</x:v>
      </x:c>
      <x:c r="B47" s="101" t="str">
        <x:v>成员删除、角色删除和批量权限撤销：TEAM-006、TEAM-010、TEAM-011。</x:v>
      </x:c>
      <x:c r="C47" s="101"/>
      <x:c r="D47" s="101"/>
    </x:row>
    <x:row r="48" ht="42" customHeight="1">
      <x:c r="A48" s="108" t="str">
        <x:v>第三批：资金、删除与不可逆场景</x:v>
      </x:c>
      <x:c r="B48" s="107" t="str">
        <x:v>换 IP、设备到期和绑定迁移：DEV-011至DEV-015。</x:v>
      </x:c>
      <x:c r="C48" s="107"/>
      <x:c r="D48" s="107"/>
    </x:row>
    <x:row r="49" ht="42" customHeight="1">
      <x:c r="A49" s="102" t="str">
        <x:v>第三批：资金、删除与不可逆场景</x:v>
      </x:c>
      <x:c r="B49" s="101" t="str">
        <x:v>临时客服授权和录像处理：SEC-007至SEC-011、SUP-003至SUP-005。</x:v>
      </x:c>
      <x:c r="C49" s="101"/>
      <x:c r="D49" s="101"/>
    </x:row>
    <x:row r="51" ht="26" customHeight="1">
      <x:c r="A51" s="64" t="str">
        <x:v>单场景完成标准</x:v>
      </x:c>
      <x:c r="B51" s="64"/>
      <x:c r="C51" s="64"/>
      <x:c r="D51" s="64"/>
    </x:row>
    <x:row r="52" ht="38" customHeight="1">
      <x:c r="A52" s="91" t="n">
        <x:v>1</x:v>
      </x:c>
      <x:c r="B52" s="90" t="str">
        <x:v>已记录角色、团队、客户端/网页版本、操作系统、设备和出口 IP。</x:v>
      </x:c>
      <x:c r="C52" s="90"/>
      <x:c r="D52" s="90"/>
    </x:row>
    <x:row r="53" ht="38" customHeight="1">
      <x:c r="A53" s="94" t="n">
        <x:v>2</x:v>
      </x:c>
      <x:c r="B53" s="93" t="str">
        <x:v>已记录前置业务状态，包含余额、库存、设备状态、店铺绑定、权限和会话状态等必要条件。</x:v>
      </x:c>
      <x:c r="C53" s="93"/>
      <x:c r="D53" s="93"/>
    </x:row>
    <x:row r="54" ht="38" customHeight="1">
      <x:c r="A54" s="91" t="n">
        <x:v>3</x:v>
      </x:c>
      <x:c r="B54" s="90" t="str">
        <x:v>已按要求执行串行次数与并发数，不能以一次结果代替频控或并发结论。</x:v>
      </x:c>
      <x:c r="C54" s="90"/>
      <x:c r="D54" s="90"/>
    </x:row>
    <x:row r="55" ht="38" customHeight="1">
      <x:c r="A55" s="94" t="n">
        <x:v>4</x:v>
      </x:c>
      <x:c r="B55" s="93" t="str">
        <x:v>已逐字记录按钮各阶段状态、字段错误、Toast、弹窗标题、正文和操作按钮。</x:v>
      </x:c>
      <x:c r="C55" s="93"/>
      <x:c r="D55" s="93"/>
    </x:row>
    <x:row r="56" ht="38" customHeight="1">
      <x:c r="A56" s="91" t="n">
        <x:v>5</x:v>
      </x:c>
      <x:c r="B56" s="90" t="str">
        <x:v>已核对实际业务结果，而非只依据界面提示。例如检查短信是否送达、订单是否唯一、余额是否变化、授权是否生效、日志是否生成。</x:v>
      </x:c>
      <x:c r="C56" s="90"/>
      <x:c r="D56" s="90"/>
    </x:row>
    <x:row r="57" ht="38" customHeight="1">
      <x:c r="A57" s="94" t="n">
        <x:v>6</x:v>
      </x:c>
      <x:c r="B57" s="93" t="str">
        <x:v>已实测冷却结束、刷新页面、重启客户端、切换入口或更换网络后的恢复行为。</x:v>
      </x:c>
      <x:c r="C57" s="93"/>
      <x:c r="D57" s="93"/>
    </x:row>
    <x:row r="58" ht="38" customHeight="1">
      <x:c r="A58" s="91" t="n">
        <x:v>7</x:v>
      </x:c>
      <x:c r="B58" s="90" t="str">
        <x:v>已生成截图或连续录屏；并发场景需同时记录两个终端或两个窗口。</x:v>
      </x:c>
      <x:c r="C58" s="90"/>
      <x:c r="D58" s="90"/>
    </x:row>
    <x:row r="59" ht="38" customHeight="1">
      <x:c r="A59" s="94" t="n">
        <x:v>8</x:v>
      </x:c>
      <x:c r="B59" s="93" t="str">
        <x:v>已标注符合设计、部分符合、不符合设计或设计缺失，并写清差异。</x:v>
      </x:c>
      <x:c r="C59" s="93"/>
      <x:c r="D59" s="93"/>
    </x:row>
    <x:row r="61" ht="26" customHeight="1">
      <x:c r="A61" s="64" t="str">
        <x:v>结论边界</x:v>
      </x:c>
      <x:c r="B61" s="64"/>
      <x:c r="C61" s="64"/>
      <x:c r="D61" s="64"/>
    </x:row>
    <x:row r="62" ht="48" customHeight="1">
      <x:c r="A62" s="115" t="str">
        <x:v>本报告是根据当前已识别的产品功能面形成的异常测试基线，不等于数学意义上的“所有可能输入组合”。新增版本、平台、支付渠道、设备供应商、插件或 Agent 应用上线后，应补充对应场景。</x:v>
      </x:c>
      <x:c r="B62" s="115"/>
      <x:c r="C62" s="115"/>
      <x:c r="D62" s="115"/>
    </x:row>
    <x:row r="63" ht="48" customHeight="1">
      <x:c r="A63" s="115" t="str">
        <x:v>除第 4 章明确标记为已实操的记录外，其余错误文案、冷却时间和业务结果均属于产品设计期望，必须通过真实操作回填后才能评价平台当前实现。</x:v>
      </x:c>
      <x:c r="B63" s="115"/>
      <x:c r="C63" s="115"/>
      <x:c r="D63" s="115"/>
    </x:row>
  </x:sheetData>
  <x:mergeCells>
    <x:mergeCell ref="A1:D1"/>
    <x:mergeCell ref="A2:D2"/>
    <x:mergeCell ref="A4:D4"/>
    <x:mergeCell ref="B5:D5"/>
    <x:mergeCell ref="B6:D6"/>
    <x:mergeCell ref="B7:D7"/>
    <x:mergeCell ref="B8:D8"/>
    <x:mergeCell ref="B9:D9"/>
    <x:mergeCell ref="A11:D11"/>
    <x:mergeCell ref="B12:D12"/>
    <x:mergeCell ref="B13:D13"/>
    <x:mergeCell ref="B14:D14"/>
    <x:mergeCell ref="B15:D15"/>
    <x:mergeCell ref="B16:D16"/>
    <x:mergeCell ref="B17:D17"/>
    <x:mergeCell ref="B18:D18"/>
    <x:mergeCell ref="B19:D19"/>
    <x:mergeCell ref="B20:D20"/>
    <x:mergeCell ref="A22:D22"/>
    <x:mergeCell ref="A33:D33"/>
    <x:mergeCell ref="B34:D34"/>
    <x:mergeCell ref="B35:D35"/>
    <x:mergeCell ref="B36:D36"/>
    <x:mergeCell ref="B37:D37"/>
    <x:mergeCell ref="B38:D38"/>
    <x:mergeCell ref="B39:D39"/>
    <x:mergeCell ref="B40:D40"/>
    <x:mergeCell ref="B41:D41"/>
    <x:mergeCell ref="B42:D42"/>
    <x:mergeCell ref="A43:D43"/>
    <x:mergeCell ref="A44:D44"/>
    <x:mergeCell ref="B45:D45"/>
    <x:mergeCell ref="B46:D46"/>
    <x:mergeCell ref="B47:D47"/>
    <x:mergeCell ref="B48:D48"/>
    <x:mergeCell ref="B49:D49"/>
    <x:mergeCell ref="A51:D51"/>
    <x:mergeCell ref="B52:D52"/>
    <x:mergeCell ref="B53:D53"/>
    <x:mergeCell ref="B54:D54"/>
    <x:mergeCell ref="B55:D55"/>
    <x:mergeCell ref="B56:D56"/>
    <x:mergeCell ref="B57:D57"/>
    <x:mergeCell ref="B58:D58"/>
    <x:mergeCell ref="B59:D59"/>
    <x:mergeCell ref="A61:D61"/>
    <x:mergeCell ref="A62:D62"/>
    <x:mergeCell ref="A63:D6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已实操记录</x:v>
      </x:c>
      <x:c r="B1" s="3"/>
      <x:c r="C1" s="3"/>
      <x:c r="D1" s="3"/>
      <x:c r="E1" s="3"/>
      <x:c r="F1" s="3"/>
      <x:c r="G1" s="3"/>
      <x:c r="H1" s="3"/>
      <x:c r="I1" s="3"/>
      <x:c r="J1" s="3"/>
      <x:c r="K1" s="3"/>
      <x:c r="L1" s="3"/>
      <x:c r="M1" s="3"/>
      <x:c r="N1" s="3"/>
      <x:c r="O1" s="3"/>
      <x:c r="P1" s="3"/>
      <x:c r="Q1" s="3"/>
      <x:c r="R1" s="3"/>
    </x:row>
    <x:row r="2" ht="34" customHeight="1">
      <x:c r="A2" s="7" t="str">
        <x:v>17 条真实操作记录；未记录字段保持空白或“待补”，产品设计建议单列呈现。</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ACT-DL-001</x:v>
      </x:c>
      <x:c r="B5" s="25" t="str">
        <x:v>下载与更新</x:v>
      </x:c>
      <x:c r="C5" s="25" t="str">
        <x:v>已实操，重点</x:v>
      </x:c>
      <x:c r="D5" s="25" t="str"/>
      <x:c r="E5" s="24" t="str">
        <x:v>官网访客</x:v>
      </x:c>
      <x:c r="F5" s="24" t="str">
        <x:v>官网下载页；日期/构建未记录</x:v>
      </x:c>
      <x:c r="G5" s="24" t="str">
        <x:v>设备与出口 IP 未记录</x:v>
      </x:c>
      <x:c r="H5" s="24" t="str">
        <x:v>页面可正常下载客户端</x:v>
      </x:c>
      <x:c r="I5" s="24" t="str">
        <x:v>串行点击 56 次；并发数未记录</x:v>
      </x:c>
      <x:c r="J5" s="24" t="str">
        <x:v>点击后仍可继续点击和下载</x:v>
      </x:c>
      <x:c r="K5" s="24" t="str">
        <x:v>无</x:v>
      </x:c>
      <x:c r="L5" s="24" t="str">
        <x:v>无可见 Toast 或弹窗</x:v>
      </x:c>
      <x:c r="M5" s="24" t="str">
        <x:v>56 次操作过程中未出现前端拦截，下载仍可继续；实际生成文件数待补</x:v>
      </x:c>
      <x:c r="N5" s="24" t="str">
        <x:v>未观察到冷却</x:v>
      </x:c>
      <x:c r="O5" s="24" t="str">
        <x:v>浏览器下载记录、CDN 请求数未采集</x:v>
      </x:c>
      <x:c r="P5" s="24" t="str">
        <x:v>可继续下载</x:v>
      </x:c>
      <x:c r="Q5" s="24" t="str">
        <x:v>待补用户截图/录屏</x:v>
      </x:c>
      <x:c r="R5" s="24" t="str">
        <x:v>首次点击后应进入正在准备下载，同版本重复点击应合并；提示下载已开始，请勿重复点击。限流目标应是防重复任务和资源滥用，不应无理由阻断正常重新下载。</x:v>
      </x:c>
    </x:row>
    <x:row r="6" ht="68" customHeight="1">
      <x:c r="A6" s="25" t="str">
        <x:v>ACT-SMS-001</x:v>
      </x:c>
      <x:c r="B6" s="25" t="str">
        <x:v>注册与短信</x:v>
      </x:c>
      <x:c r="C6" s="25" t="str">
        <x:v>已实操，重点</x:v>
      </x:c>
      <x:c r="D6" s="25" t="str"/>
      <x:c r="E6" s="24" t="str">
        <x:v>官网访客/待注册用户</x:v>
      </x:c>
      <x:c r="F6" s="24" t="str">
        <x:v>注册弹窗或注册页；具体版本未记录</x:v>
      </x:c>
      <x:c r="G6" s="24" t="str">
        <x:v>同一设备、同一 IP、同一手机号码；具体值未记录</x:v>
      </x:c>
      <x:c r="H6" s="24" t="str">
        <x:v>手机号码格式有效，可进入取码流程</x:v>
      </x:c>
      <x:c r="I6" s="24" t="str">
        <x:v>每次等待 60 秒结束后再次获取；总次数待补；串行 1 并发</x:v>
      </x:c>
      <x:c r="J6" s="24" t="str">
        <x:v>发送后 60 秒倒计时，结束后恢复获取</x:v>
      </x:c>
      <x:c r="K6" s="24" t="str">
        <x:v>未触发错误文案</x:v>
      </x:c>
      <x:c r="L6" s="24" t="str">
        <x:v>未触发图形验证、次数限制或更长时间限制</x:v>
      </x:c>
      <x:c r="M6" s="24" t="str">
        <x:v>每轮倒计时结束后仍可再次发起取码；每条短信送达情况待短信记录补齐</x:v>
      </x:c>
      <x:c r="N6" s="24" t="str">
        <x:v>每轮 60 秒；未观察到额外冷却</x:v>
      </x:c>
      <x:c r="O6" s="24" t="str">
        <x:v>短信条数、模板、发送时间和供应商回执待补</x:v>
      </x:c>
      <x:c r="P6" s="24" t="str">
        <x:v>倒计时结束后可恢复</x:v>
      </x:c>
      <x:c r="Q6" s="24" t="str">
        <x:v>待补取码全程录屏和短信列表</x:v>
      </x:c>
      <x:c r="R6" s="24" t="str">
        <x:v>除 60 秒单次冷却外，还应设置手机号码、设备和 IP 的滑动窗口阈值；达到阈值后给出准确恢复时间并按风险触发人机验证。</x:v>
      </x:c>
    </x:row>
    <x:row r="7" ht="68" customHeight="1">
      <x:c r="A7" s="25" t="str">
        <x:v>ACT-SMS-002</x:v>
      </x:c>
      <x:c r="B7" s="25" t="str">
        <x:v>注册与短信</x:v>
      </x:c>
      <x:c r="C7" s="25" t="str">
        <x:v>已实操，重点</x:v>
      </x:c>
      <x:c r="D7" s="25" t="str"/>
      <x:c r="E7" s="24" t="str">
        <x:v>官网访客/待注册用户</x:v>
      </x:c>
      <x:c r="F7" s="24" t="str">
        <x:v>同一窗口内的注册弹窗与注册页面；具体版本未记录</x:v>
      </x:c>
      <x:c r="G7" s="24" t="str">
        <x:v>同一设备、同一 IP、同一手机号码</x:v>
      </x:c>
      <x:c r="H7" s="24" t="str">
        <x:v>一个注册区块已发送验证码且 60 秒倒计时未结束</x:v>
      </x:c>
      <x:c r="I7" s="24" t="str">
        <x:v>两个区块并发取码；并发 2</x:v>
      </x:c>
      <x:c r="J7" s="24" t="str">
        <x:v>第二入口按钮变为获取中…</x:v>
      </x:c>
      <x:c r="K7" s="24" t="str">
        <x:v>短信验证码发送频繁</x:v>
      </x:c>
      <x:c r="L7" s="24" t="str">
        <x:v>Toast</x:v>
      </x:c>
      <x:c r="M7" s="24" t="str">
        <x:v>第二个并发短信请求被拦截；第一个区块倒计时继续</x:v>
      </x:c>
      <x:c r="N7" s="24" t="str">
        <x:v>未记录；Toast 未告知具体恢复时间</x:v>
      </x:c>
      <x:c r="O7" s="24" t="str">
        <x:v>第二条短信是否未发送需用短信列表和网络日志确认</x:v>
      </x:c>
      <x:c r="P7" s="24" t="str">
        <x:v>待实测；原区块倒计时继续</x:v>
      </x:c>
      <x:c r="Q7" s="24" t="str">
        <x:v>待补双入口并发录屏</x:v>
      </x:c>
      <x:c r="R7" s="24" t="str">
        <x:v>文案应补充恢复动作，例如验证码正在发送，请勿重复操作或请求过于频繁，请在 60 秒后重试；所有注册入口应共享服务端状态。</x:v>
      </x:c>
    </x:row>
    <x:row r="8" ht="68" customHeight="1">
      <x:c r="A8" s="25" t="str">
        <x:v>ACT-SMS-003</x:v>
      </x:c>
      <x:c r="B8" s="25" t="str">
        <x:v>注册与短信</x:v>
      </x:c>
      <x:c r="C8" s="25" t="str">
        <x:v>已实操，重点</x:v>
      </x:c>
      <x:c r="D8" s="25" t="str"/>
      <x:c r="E8" s="24" t="str">
        <x:v>官网访客/待注册用户</x:v>
      </x:c>
      <x:c r="F8" s="24" t="str">
        <x:v>注册弹窗或注册页；具体版本未记录</x:v>
      </x:c>
      <x:c r="G8" s="24" t="str">
        <x:v>同一设备、同一 IP、不同手机号码</x:v>
      </x:c>
      <x:c r="H8" s="24" t="str">
        <x:v>两个号码均为可取码格式</x:v>
      </x:c>
      <x:c r="I8" s="24" t="str">
        <x:v>不同号码并发；并发数和轮次待补</x:v>
      </x:c>
      <x:c r="J8" s="24" t="str">
        <x:v>两个入口均可继续获取</x:v>
      </x:c>
      <x:c r="K8" s="24" t="str">
        <x:v>无</x:v>
      </x:c>
      <x:c r="L8" s="24" t="str">
        <x:v>无可见限制</x:v>
      </x:c>
      <x:c r="M8" s="24" t="str">
        <x:v>当前样本未触发并发限制；实际短信送达条数待补</x:v>
      </x:c>
      <x:c r="N8" s="24" t="str">
        <x:v>各号码独立 60 秒</x:v>
      </x:c>
      <x:c r="O8" s="24" t="str">
        <x:v>短信和服务端请求日志未采集</x:v>
      </x:c>
      <x:c r="P8" s="24" t="str">
        <x:v>可继续操作</x:v>
      </x:c>
      <x:c r="Q8" s="24" t="str">
        <x:v>待补并发录屏和短信列表</x:v>
      </x:c>
      <x:c r="R8" s="24" t="str">
        <x:v>合理规则不应仅按手机号限流，还需设备/IP 风险阈值；但不能因同 IP 正常多人使用而简单一刀切，应使用分层阈值和人机验证。</x:v>
      </x:c>
    </x:row>
    <x:row r="9" ht="68" customHeight="1">
      <x:c r="A9" s="25" t="str">
        <x:v>ACT-REG-001</x:v>
      </x:c>
      <x:c r="B9" s="25" t="str">
        <x:v>注册与短信</x:v>
      </x:c>
      <x:c r="C9" s="25" t="str">
        <x:v>已实操</x:v>
      </x:c>
      <x:c r="D9" s="25" t="str"/>
      <x:c r="E9" s="24" t="str">
        <x:v>官网访客</x:v>
      </x:c>
      <x:c r="F9" s="24" t="str">
        <x:v>官网注册表单；具体版本未记录</x:v>
      </x:c>
      <x:c r="G9" s="24" t="str">
        <x:v>设备/IP 未记录</x:v>
      </x:c>
      <x:c r="H9" s="24" t="str">
        <x:v>手机号码格式不合法</x:v>
      </x:c>
      <x:c r="I9" s="24" t="str">
        <x:v>每种非法格式次数待补</x:v>
      </x:c>
      <x:c r="J9" s="24" t="str">
        <x:v>获取验证码或提交后保持可编辑</x:v>
      </x:c>
      <x:c r="K9" s="24" t="str">
        <x:v>请输入正确的手机号码；前序官网实测还出现过请输入正确的手机号，需按版本复核</x:v>
      </x:c>
      <x:c r="L9" s="24" t="str">
        <x:v>字段错误或页面提示</x:v>
      </x:c>
      <x:c r="M9" s="24" t="str">
        <x:v>未发起有效注册/取码</x:v>
      </x:c>
      <x:c r="N9" s="24" t="str">
        <x:v>无</x:v>
      </x:c>
      <x:c r="O9" s="24" t="str">
        <x:v>无短信</x:v>
      </x:c>
      <x:c r="P9" s="24" t="str">
        <x:v>修改输入后可恢复</x:v>
      </x:c>
      <x:c r="Q9" s="24" t="str">
        <x:v>已有空提交截图
/Users/zhangbin/Desktop/灵匠/云登pc端/research/netease-kuajing/screenshots/desktop-hero-form-empty-submit.png</x:v>
      </x:c>
      <x:c r="R9" s="24" t="str">
        <x:v>官网内部也应统一为一种文案。推荐空值请输入手机号码，格式错误手机号码格式不正确，避免把两类错误合并。</x:v>
      </x:c>
    </x:row>
    <x:row r="10" ht="68" customHeight="1">
      <x:c r="A10" s="25" t="str">
        <x:v>ACT-REG-002</x:v>
      </x:c>
      <x:c r="B10" s="25" t="str">
        <x:v>注册与短信</x:v>
      </x:c>
      <x:c r="C10" s="25" t="str">
        <x:v>已实操</x:v>
      </x:c>
      <x:c r="D10" s="25" t="str"/>
      <x:c r="E10" s="24" t="str">
        <x:v>客户端访客</x:v>
      </x:c>
      <x:c r="F10" s="24" t="str">
        <x:v>客户端具体版本/构建未记录</x:v>
      </x:c>
      <x:c r="G10" s="24" t="str">
        <x:v>操作系统、设备/IP 未记录</x:v>
      </x:c>
      <x:c r="H10" s="24" t="str">
        <x:v>手机号码格式不合法</x:v>
      </x:c>
      <x:c r="I10" s="24" t="str">
        <x:v>次数待补</x:v>
      </x:c>
      <x:c r="J10" s="24" t="str">
        <x:v>具体按钮状态未记录</x:v>
      </x:c>
      <x:c r="K10" s="24" t="str">
        <x:v>手机号码格式不正确</x:v>
      </x:c>
      <x:c r="L10" s="24" t="str">
        <x:v>字段错误</x:v>
      </x:c>
      <x:c r="M10" s="24" t="str">
        <x:v>未发起有效注册/取码</x:v>
      </x:c>
      <x:c r="N10" s="24" t="str">
        <x:v>无</x:v>
      </x:c>
      <x:c r="O10" s="24" t="str">
        <x:v>无短信</x:v>
      </x:c>
      <x:c r="P10" s="24" t="str">
        <x:v>修改输入后可恢复</x:v>
      </x:c>
      <x:c r="Q10" s="24" t="str">
        <x:v>待补客户端截图</x:v>
      </x:c>
      <x:c r="R10" s="24" t="str">
        <x:v>该文案比官网“请输入正确的手机号码”更准确，建议网页端统一采用。</x:v>
      </x:c>
    </x:row>
    <x:row r="11" ht="68" customHeight="1">
      <x:c r="A11" s="25" t="str">
        <x:v>ACT-REG-003</x:v>
      </x:c>
      <x:c r="B11" s="25" t="str">
        <x:v>注册与短信</x:v>
      </x:c>
      <x:c r="C11" s="25" t="str">
        <x:v>已实操</x:v>
      </x:c>
      <x:c r="D11" s="25" t="str"/>
      <x:c r="E11" s="24" t="str">
        <x:v>官网或客户端访客</x:v>
      </x:c>
      <x:c r="F11" s="24" t="str">
        <x:v>具体端与版本待补</x:v>
      </x:c>
      <x:c r="G11" s="24" t="str">
        <x:v>设备/IP 未记录</x:v>
      </x:c>
      <x:c r="H11" s="24" t="str">
        <x:v>手机号码为空</x:v>
      </x:c>
      <x:c r="I11" s="24" t="str">
        <x:v>次数待补</x:v>
      </x:c>
      <x:c r="J11" s="24" t="str">
        <x:v>提交后表单仍可继续操作；焦点位置未记录</x:v>
      </x:c>
      <x:c r="K11" s="24" t="str">
        <x:v>请输入手机号码</x:v>
      </x:c>
      <x:c r="L11" s="24" t="str">
        <x:v>字段错误</x:v>
      </x:c>
      <x:c r="M11" s="24" t="str">
        <x:v>未发起有效注册/取码</x:v>
      </x:c>
      <x:c r="N11" s="24" t="str">
        <x:v>无</x:v>
      </x:c>
      <x:c r="O11" s="24" t="str">
        <x:v>无短信</x:v>
      </x:c>
      <x:c r="P11" s="24" t="str">
        <x:v>输入号码后可恢复</x:v>
      </x:c>
      <x:c r="Q11" s="24" t="str">
        <x:v>待补截图</x:v>
      </x:c>
      <x:c r="R11" s="24" t="str">
        <x:v>文案符合“空值”场景；不应与格式错误共用同一提示。</x:v>
      </x:c>
    </x:row>
    <x:row r="12" ht="68" customHeight="1">
      <x:c r="A12" s="25" t="str">
        <x:v>ACT-REG-004</x:v>
      </x:c>
      <x:c r="B12" s="25" t="str">
        <x:v>注册与短信</x:v>
      </x:c>
      <x:c r="C12" s="25" t="str">
        <x:v>已实操</x:v>
      </x:c>
      <x:c r="D12" s="25" t="str"/>
      <x:c r="E12" s="24" t="str">
        <x:v>官网或客户端访客</x:v>
      </x:c>
      <x:c r="F12" s="24" t="str">
        <x:v>具体端与版本待补</x:v>
      </x:c>
      <x:c r="G12" s="24" t="str">
        <x:v>设备/IP 未记录</x:v>
      </x:c>
      <x:c r="H12" s="24" t="str">
        <x:v>已输入短信验证码，但验证码错误</x:v>
      </x:c>
      <x:c r="I12" s="24" t="str">
        <x:v>错误次数待补</x:v>
      </x:c>
      <x:c r="J12" s="24" t="str">
        <x:v>表单可继续操作；按钮状态和失败累计未记录</x:v>
      </x:c>
      <x:c r="K12" s="24" t="str">
        <x:v>验证码错误，请重新输入</x:v>
      </x:c>
      <x:c r="L12" s="24" t="str">
        <x:v>字段错误或 Toast，位置待补</x:v>
      </x:c>
      <x:c r="M12" s="24" t="str">
        <x:v>注册未成功</x:v>
      </x:c>
      <x:c r="N12" s="24" t="str">
        <x:v>是否有失败阈值/冷却未记录</x:v>
      </x:c>
      <x:c r="O12" s="24" t="str">
        <x:v>未记录是否产生安全消息</x:v>
      </x:c>
      <x:c r="P12" s="24" t="str">
        <x:v>可重新输入或重新取码</x:v>
      </x:c>
      <x:c r="Q12" s="24" t="str">
        <x:v>待补截图/录屏</x:v>
      </x:c>
      <x:c r="R12" s="24" t="str">
        <x:v>建议统一为短信验证码错误或已失效；连续 5 次错误后使当前验证码失效，并提示重新获取，不能无限试码。</x:v>
      </x:c>
    </x:row>
    <x:row r="13" ht="68" customHeight="1">
      <x:c r="A13" s="25" t="str">
        <x:v>ACT-REG-005</x:v>
      </x:c>
      <x:c r="B13" s="25" t="str">
        <x:v>注册与短信</x:v>
      </x:c>
      <x:c r="C13" s="25" t="str">
        <x:v>已实操</x:v>
      </x:c>
      <x:c r="D13" s="25" t="str"/>
      <x:c r="E13" s="24" t="str">
        <x:v>官网访客</x:v>
      </x:c>
      <x:c r="F13" s="24" t="str">
        <x:v>官网注册表单；具体版本未记录</x:v>
      </x:c>
      <x:c r="G13" s="24" t="str">
        <x:v>设备/IP 未记录</x:v>
      </x:c>
      <x:c r="H13" s="24" t="str">
        <x:v>短信验证码为空</x:v>
      </x:c>
      <x:c r="I13" s="24" t="str">
        <x:v>次数待补</x:v>
      </x:c>
      <x:c r="J13" s="24" t="str">
        <x:v>具体按钮状态未记录</x:v>
      </x:c>
      <x:c r="K13" s="24" t="str">
        <x:v>请输入6位验证码</x:v>
      </x:c>
      <x:c r="L13" s="24" t="str">
        <x:v>字段错误</x:v>
      </x:c>
      <x:c r="M13" s="24" t="str">
        <x:v>注册未成功</x:v>
      </x:c>
      <x:c r="N13" s="24" t="str">
        <x:v>无</x:v>
      </x:c>
      <x:c r="O13" s="24" t="str">
        <x:v>无短信变化</x:v>
      </x:c>
      <x:c r="P13" s="24" t="str">
        <x:v>输入验证码后可恢复</x:v>
      </x:c>
      <x:c r="Q13" s="24" t="str">
        <x:v>已有空提交截图
/Users/zhangbin/Desktop/灵匠/云登pc端/research/netease-kuajing/screenshots/desktop-hero-form-empty-submit.png</x:v>
      </x:c>
      <x:c r="R13" s="24" t="str">
        <x:v>推荐统一为请输入 6 位短信验证码，同时表达长度和字段含义。</x:v>
      </x:c>
    </x:row>
    <x:row r="14" ht="68" customHeight="1">
      <x:c r="A14" s="25" t="str">
        <x:v>ACT-REG-006</x:v>
      </x:c>
      <x:c r="B14" s="25" t="str">
        <x:v>注册与短信</x:v>
      </x:c>
      <x:c r="C14" s="25" t="str">
        <x:v>已实操</x:v>
      </x:c>
      <x:c r="D14" s="25" t="str"/>
      <x:c r="E14" s="24" t="str">
        <x:v>客户端访客</x:v>
      </x:c>
      <x:c r="F14" s="24" t="str">
        <x:v>客户端具体版本/构建未记录</x:v>
      </x:c>
      <x:c r="G14" s="24" t="str">
        <x:v>操作系统、设备/IP 未记录</x:v>
      </x:c>
      <x:c r="H14" s="24" t="str">
        <x:v>短信验证码为空</x:v>
      </x:c>
      <x:c r="I14" s="24" t="str">
        <x:v>次数待补</x:v>
      </x:c>
      <x:c r="J14" s="24" t="str">
        <x:v>具体按钮状态未记录</x:v>
      </x:c>
      <x:c r="K14" s="24" t="str">
        <x:v>请输入短信验证码</x:v>
      </x:c>
      <x:c r="L14" s="24" t="str">
        <x:v>字段错误</x:v>
      </x:c>
      <x:c r="M14" s="24" t="str">
        <x:v>注册未成功</x:v>
      </x:c>
      <x:c r="N14" s="24" t="str">
        <x:v>无</x:v>
      </x:c>
      <x:c r="O14" s="24" t="str">
        <x:v>无短信变化</x:v>
      </x:c>
      <x:c r="P14" s="24" t="str">
        <x:v>输入验证码后可恢复</x:v>
      </x:c>
      <x:c r="Q14" s="24" t="str">
        <x:v>待补客户端截图</x:v>
      </x:c>
      <x:c r="R14" s="24" t="str">
        <x:v>与官网文案不一致。若固定为 6 位，客户端也应明确长度。</x:v>
      </x:c>
    </x:row>
    <x:row r="15" ht="68" customHeight="1">
      <x:c r="A15" s="25" t="str">
        <x:v>ACT-REG-007</x:v>
      </x:c>
      <x:c r="B15" s="25" t="str">
        <x:v>注册与短信</x:v>
      </x:c>
      <x:c r="C15" s="25" t="str">
        <x:v>已实操</x:v>
      </x:c>
      <x:c r="D15" s="25" t="str"/>
      <x:c r="E15" s="24" t="str">
        <x:v>已注册手机号码的访客</x:v>
      </x:c>
      <x:c r="F15" s="24" t="str">
        <x:v>具体端与版本待补</x:v>
      </x:c>
      <x:c r="G15" s="24" t="str">
        <x:v>设备/IP 未记录</x:v>
      </x:c>
      <x:c r="H15" s="24" t="str">
        <x:v>手机号码已经注册</x:v>
      </x:c>
      <x:c r="I15" s="24" t="str">
        <x:v>次数待补</x:v>
      </x:c>
      <x:c r="J15" s="24" t="str">
        <x:v>注册未继续；是否有可点击登录入口待补</x:v>
      </x:c>
      <x:c r="K15" s="24" t="str">
        <x:v>手机号已注册，可更滑手机号或直接登录</x:v>
      </x:c>
      <x:c r="L15" s="24" t="str">
        <x:v>Toast/字段提示位置待补</x:v>
      </x:c>
      <x:c r="M15" s="24" t="str">
        <x:v>未重复创建账号</x:v>
      </x:c>
      <x:c r="N15" s="24" t="str">
        <x:v>未记录</x:v>
      </x:c>
      <x:c r="O15" s="24" t="str">
        <x:v>是否发送短信、是否记录重复注册事件待补</x:v>
      </x:c>
      <x:c r="P15" s="24" t="str">
        <x:v>可更换号码或转登录</x:v>
      </x:c>
      <x:c r="Q15" s="24" t="str">
        <x:v>待补原文截图</x:v>
      </x:c>
      <x:c r="R15" s="24" t="str">
        <x:v>若原文确为更滑手机号，属于错别字。推荐该手机号码已注册，请直接登录或更换手机号码；同时对账号枚举行为做频控。</x:v>
      </x:c>
    </x:row>
    <x:row r="16" ht="68" customHeight="1">
      <x:c r="A16" s="25" t="str">
        <x:v>ACT-REG-008</x:v>
      </x:c>
      <x:c r="B16" s="25" t="str">
        <x:v>注册与短信</x:v>
      </x:c>
      <x:c r="C16" s="25" t="str">
        <x:v>已实操</x:v>
      </x:c>
      <x:c r="D16" s="25" t="str"/>
      <x:c r="E16" s="24" t="str">
        <x:v>官网或客户端访客</x:v>
      </x:c>
      <x:c r="F16" s="24" t="str">
        <x:v>具体端与版本待补</x:v>
      </x:c>
      <x:c r="G16" s="24" t="str">
        <x:v>设备/IP 未记录</x:v>
      </x:c>
      <x:c r="H16" s="24" t="str">
        <x:v>表单有效但未勾选用户协议</x:v>
      </x:c>
      <x:c r="I16" s="24" t="str">
        <x:v>次数待补</x:v>
      </x:c>
      <x:c r="J16" s="24" t="str">
        <x:v>注册未继续；协议高亮和按钮状态未记录</x:v>
      </x:c>
      <x:c r="K16" s="24" t="str">
        <x:v>请阅读并同意协议</x:v>
      </x:c>
      <x:c r="L16" s="24" t="str">
        <x:v>字段提示或 Toast，位置待补</x:v>
      </x:c>
      <x:c r="M16" s="24" t="str">
        <x:v>未创建账号</x:v>
      </x:c>
      <x:c r="N16" s="24" t="str">
        <x:v>无</x:v>
      </x:c>
      <x:c r="O16" s="24" t="str">
        <x:v>是否发起注册请求未采集</x:v>
      </x:c>
      <x:c r="P16" s="24" t="str">
        <x:v>勾选后可恢复</x:v>
      </x:c>
      <x:c r="Q16" s="24" t="str">
        <x:v>待补截图</x:v>
      </x:c>
      <x:c r="R16" s="24" t="str">
        <x:v>推荐明确协议名称：请阅读并同意《用户服务协议》和《隐私政策》，且不得默认勾选。</x:v>
      </x:c>
    </x:row>
    <x:row r="17" ht="68" customHeight="1">
      <x:c r="A17" s="25" t="str">
        <x:v>ACT-REG-009</x:v>
      </x:c>
      <x:c r="B17" s="25" t="str">
        <x:v>注册与短信</x:v>
      </x:c>
      <x:c r="C17" s="25" t="str">
        <x:v>已实操</x:v>
      </x:c>
      <x:c r="D17" s="25" t="str"/>
      <x:c r="E17" s="24" t="str">
        <x:v>官网访客</x:v>
      </x:c>
      <x:c r="F17" s="24" t="str">
        <x:v>官网注册表单；2026-08-13 实测</x:v>
      </x:c>
      <x:c r="G17" s="24" t="str">
        <x:v>桌面浏览器；IP 未记录</x:v>
      </x:c>
      <x:c r="H17" s="24" t="str">
        <x:v>注册表单为空</x:v>
      </x:c>
      <x:c r="I17" s="24" t="str">
        <x:v>空提交 1 次</x:v>
      </x:c>
      <x:c r="J17" s="24" t="str">
        <x:v>表单保持打开</x:v>
      </x:c>
      <x:c r="K17" s="24" t="str">
        <x:v>请输入正确的手机号；请输入6位验证码；请同意《服务协议》和《隐私协议》</x:v>
      </x:c>
      <x:c r="L17" s="24" t="str">
        <x:v>同一次提交出现三项校验</x:v>
      </x:c>
      <x:c r="M17" s="24" t="str">
        <x:v>未发起注册</x:v>
      </x:c>
      <x:c r="N17" s="24" t="str">
        <x:v>无</x:v>
      </x:c>
      <x:c r="O17" s="24" t="str">
        <x:v>无短信</x:v>
      </x:c>
      <x:c r="P17" s="24" t="str">
        <x:v>补齐字段后可恢复</x:v>
      </x:c>
      <x:c r="Q17" s="24" t="str">
        <x:v>桌面空提交截图
/Users/zhangbin/Desktop/灵匠/云登pc端/research/netease-kuajing/screenshots/desktop-hero-form-empty-submit.png</x:v>
      </x:c>
      <x:c r="R17" s="24" t="str">
        <x:v>应逐字段区分空值与格式错误，并统一“用户服务协议/隐私政策”的正式名称。</x:v>
      </x:c>
    </x:row>
    <x:row r="18" ht="68" customHeight="1">
      <x:c r="A18" s="25" t="str">
        <x:v>ACT-REG-010</x:v>
      </x:c>
      <x:c r="B18" s="25" t="str">
        <x:v>注册与短信</x:v>
      </x:c>
      <x:c r="C18" s="25" t="str">
        <x:v>已实操</x:v>
      </x:c>
      <x:c r="D18" s="25" t="str"/>
      <x:c r="E18" s="24" t="str">
        <x:v>官网访客</x:v>
      </x:c>
      <x:c r="F18" s="24" t="str">
        <x:v>官网注册表单；2026-08-13 实测</x:v>
      </x:c>
      <x:c r="G18" s="24" t="str">
        <x:v>桌面浏览器；IP 未记录</x:v>
      </x:c>
      <x:c r="H18" s="24" t="str">
        <x:v>展开邀请码并输入无效值</x:v>
      </x:c>
      <x:c r="I18" s="24" t="str">
        <x:v>1 次</x:v>
      </x:c>
      <x:c r="J18" s="24" t="str">
        <x:v>注册表单保持可编辑</x:v>
      </x:c>
      <x:c r="K18" s="24" t="str">
        <x:v>邀请码无效</x:v>
      </x:c>
      <x:c r="L18" s="24" t="str">
        <x:v>字段错误</x:v>
      </x:c>
      <x:c r="M18" s="24" t="str">
        <x:v>邀请关系未建立；未最终提交注册</x:v>
      </x:c>
      <x:c r="N18" s="24" t="str">
        <x:v>无</x:v>
      </x:c>
      <x:c r="O18" s="24" t="str">
        <x:v>无短信变化</x:v>
      </x:c>
      <x:c r="P18" s="24" t="str">
        <x:v>清空或更换邀请码后可恢复</x:v>
      </x:c>
      <x:c r="Q18" s="24" t="str">
        <x:v>无效邀请码截图
/Users/zhangbin/Desktop/灵匠/云登pc端/research/netease-kuajing/screenshots/desktop-hero-invite-invalid.png</x:v>
      </x:c>
      <x:c r="R18" s="24" t="str">
        <x:v>因邀请码为选填，建议文案为邀请码无效或已失效，可清空后继续注册，避免用户误以为无法注册。</x:v>
      </x:c>
    </x:row>
    <x:row r="19" ht="68" customHeight="1">
      <x:c r="A19" s="25" t="str">
        <x:v>ACT-WEB-001</x:v>
      </x:c>
      <x:c r="B19" s="25" t="str">
        <x:v>官网与活动</x:v>
      </x:c>
      <x:c r="C19" s="25" t="str">
        <x:v>已实操</x:v>
      </x:c>
      <x:c r="D19" s="25" t="str"/>
      <x:c r="E19" s="24" t="str">
        <x:v>官网访客</x:v>
      </x:c>
      <x:c r="F19" s="24" t="str">
        <x:v>官网首页；2026-08-13 实测</x:v>
      </x:c>
      <x:c r="G19" s="24" t="str">
        <x:v>1280×720 桌面视口；IP 未记录</x:v>
      </x:c>
      <x:c r="H19" s="24" t="str">
        <x:v>首页轮播切到第 2 屏</x:v>
      </x:c>
      <x:c r="I19" s="24" t="str">
        <x:v>点击 1 次</x:v>
      </x:c>
      <x:c r="J19" s="24" t="str">
        <x:v>图片视觉上包含立即体验，但无有效链接状态</x:v>
      </x:c>
      <x:c r="K19" s="24" t="str">
        <x:v>无</x:v>
      </x:c>
      <x:c r="L19" s="24" t="str">
        <x:v>无</x:v>
      </x:c>
      <x:c r="M19" s="24" t="str">
        <x:v>点击后 URL 不变，也未打开新标签</x:v>
      </x:c>
      <x:c r="N19" s="24" t="str">
        <x:v>无</x:v>
      </x:c>
      <x:c r="O19" s="24" t="str">
        <x:v>无消息</x:v>
      </x:c>
      <x:c r="P19" s="24" t="str">
        <x:v>可使用其他注册入口</x:v>
      </x:c>
      <x:c r="Q19" s="24" t="str">
        <x:v>轮播点击截图
/Users/zhangbin/Desktop/灵匠/云登pc端/research/netease-kuajing/screenshots/desktop-home-carousel-slide2.png</x:v>
      </x:c>
      <x:c r="R19" s="24" t="str">
        <x:v>不可出现“看起来可点击但无响应”的 CTA。无目标时应隐藏按钮；活动失效时提示活动已结束或暂不可用。</x:v>
      </x:c>
    </x:row>
    <x:row r="20" ht="68" customHeight="1">
      <x:c r="A20" s="25" t="str">
        <x:v>ACT-WEB-002</x:v>
      </x:c>
      <x:c r="B20" s="25" t="str">
        <x:v>官网与活动</x:v>
      </x:c>
      <x:c r="C20" s="25" t="str">
        <x:v>已实操，重点</x:v>
      </x:c>
      <x:c r="D20" s="25" t="str"/>
      <x:c r="E20" s="24" t="str">
        <x:v>移动端官网访客</x:v>
      </x:c>
      <x:c r="F20" s="24" t="str">
        <x:v>官网首页；2026-08-13 实测</x:v>
      </x:c>
      <x:c r="G20" s="24" t="str">
        <x:v>390×844；出口 IP 未记录</x:v>
      </x:c>
      <x:c r="H20" s="24" t="str">
        <x:v>打开立即体验注册弹窗</x:v>
      </x:c>
      <x:c r="I20" s="24" t="str">
        <x:v>打开 1 次；遮罩与 Esc 各尝试</x:v>
      </x:c>
      <x:c r="J20" s="24" t="str">
        <x:v>弹窗固定约 850px，关闭按钮和表单右侧越出视口；遮罩和 Esc 无法关闭</x:v>
      </x:c>
      <x:c r="K20" s="24" t="str">
        <x:v>无</x:v>
      </x:c>
      <x:c r="L20" s="24" t="str">
        <x:v>注册弹窗</x:v>
      </x:c>
      <x:c r="M20" s="24" t="str">
        <x:v>页面横向溢出；需横向滚动到右侧点击关闭按钮才能恢复</x:v>
      </x:c>
      <x:c r="N20" s="24" t="str">
        <x:v>无</x:v>
      </x:c>
      <x:c r="O20" s="24" t="str">
        <x:v>无消息</x:v>
      </x:c>
      <x:c r="P20" s="24" t="str">
        <x:v>可恢复，但操作成本高</x:v>
      </x:c>
      <x:c r="Q20" s="24" t="str">
        <x:v>移动弹窗截图
/Users/zhangbin/Desktop/灵匠/云登pc端/research/netease-kuajing/screenshots/mobile-390-register-dialog.png
横向滚动截图
/Users/zhangbin/Desktop/灵匠/云登pc端/research/netease-kuajing/screenshots/mobile-390-dialog-horizontal-scroll.png</x:v>
      </x:c>
      <x:c r="R20" s="24" t="str">
        <x:v>弹窗宽度应不超过视口宽度 - 32px；关闭按钮始终可见；遮罩、Esc、系统返回至少提供一种可靠退出方式。</x:v>
      </x:c>
    </x:row>
    <x:row r="21" ht="68" customHeight="1">
      <x:c r="A21" s="25" t="str">
        <x:v>ACT-WEB-003</x:v>
      </x:c>
      <x:c r="B21" s="25" t="str">
        <x:v>官网与活动</x:v>
      </x:c>
      <x:c r="C21" s="25" t="str">
        <x:v>已实操</x:v>
      </x:c>
      <x:c r="D21" s="25" t="str"/>
      <x:c r="E21" s="24" t="str">
        <x:v>官网访客</x:v>
      </x:c>
      <x:c r="F21" s="24" t="str">
        <x:v>反馈页；2026-08-13 实测</x:v>
      </x:c>
      <x:c r="G21" s="24" t="str">
        <x:v>桌面浏览器；IP 未记录</x:v>
      </x:c>
      <x:c r="H21" s="24" t="str">
        <x:v>反馈正文为空</x:v>
      </x:c>
      <x:c r="I21" s="24" t="str">
        <x:v>空提交 1 次</x:v>
      </x:c>
      <x:c r="J21" s="24" t="str">
        <x:v>提交未进入成功态</x:v>
      </x:c>
      <x:c r="K21" s="24" t="str">
        <x:v>请输入您的反馈意见或问题内容</x:v>
      </x:c>
      <x:c r="L21" s="24" t="str">
        <x:v>Toast</x:v>
      </x:c>
      <x:c r="M21" s="24" t="str">
        <x:v>未提交反馈、未生成反馈编号</x:v>
      </x:c>
      <x:c r="N21" s="24" t="str">
        <x:v>无</x:v>
      </x:c>
      <x:c r="O21" s="24" t="str">
        <x:v>无对外消息</x:v>
      </x:c>
      <x:c r="P21" s="24" t="str">
        <x:v>填写正文后可恢复</x:v>
      </x:c>
      <x:c r="Q21" s="24" t="str">
        <x:v>反馈空提交截图
/Users/zhangbin/Desktop/灵匠/云登pc端/research/netease-kuajing/screenshots/desktop-feedback-empty-submit.png</x:v>
      </x:c>
      <x:c r="R21" s="24" t="str">
        <x:v>文案符合空值校验；建议错误定位到正文框并保留已填写的分类、联系方式和图片。</x:v>
      </x:c>
    </x:row>
  </x:sheetData>
  <x:mergeCells>
    <x:mergeCell ref="A1:R1"/>
    <x:mergeCell ref="A2:R2"/>
  </x:mergeCells>
  <x:conditionalFormatting sqref="C5:C21">
    <x:cfRule type="containsText" dxfId="0" priority="1" operator="containsText" text="已实操"/>
    <x:cfRule type="containsText" dxfId="1" priority="2" operator="containsText" text="待实操"/>
    <x:cfRule type="containsText" dxfId="2" priority="3" operator="containsText" text="部分实操"/>
  </x:conditionalFormatting>
  <x:conditionalFormatting sqref="D5:D21">
    <x:cfRule type="containsText" dxfId="3" priority="4" operator="containsText" text="P0"/>
    <x:cfRule type="containsText" dxfId="4" priority="5" operator="containsText" text="P1"/>
    <x:cfRule type="containsText" dxfId="5" priority="6" operator="containsText" text="P2"/>
  </x:conditionalFormatting>
  <x:dataValidations count="2">
    <x:dataValidation type="list" sqref="C5:C21">
      <x:formula1>"待实操,部分实操,已实操,已实操，重点"</x:formula1>
    </x:dataValidation>
    <x:dataValidation type="list" sqref="D5:D21">
      <x:formula1>"P0,P1,P2"</x:formula1>
    </x:dataValidation>
  </x:dataValidations>
  <x:pageMargins left="0.7" right="0.7" top="0.75" bottom="0.75" header="0.3" footer="0.3"/>
  <x:tableParts count="1">
    <x:tablePart xmlns:r="http://schemas.openxmlformats.org/officeDocument/2006/relationships" r:id="R6b6e34093a5a465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官网与账号异常场景</x:v>
      </x:c>
      <x:c r="B1" s="3"/>
      <x:c r="C1" s="3"/>
      <x:c r="D1" s="3"/>
      <x:c r="E1" s="3"/>
      <x:c r="F1" s="3"/>
      <x:c r="G1" s="3"/>
      <x:c r="H1" s="3"/>
      <x:c r="I1" s="3"/>
      <x:c r="J1" s="3"/>
      <x:c r="K1" s="3"/>
      <x:c r="L1" s="3"/>
      <x:c r="M1" s="3"/>
      <x:c r="N1" s="3"/>
      <x:c r="O1" s="3"/>
      <x:c r="P1" s="3"/>
      <x:c r="Q1" s="3"/>
      <x:c r="R1" s="3"/>
    </x:row>
    <x:row r="2" ht="34" customHeight="1">
      <x:c r="A2" s="7" t="str">
        <x:v>官网、下载、注册短信、登录账号和应用框架，共 53 条待实操场景。</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WEB-001</x:v>
      </x:c>
      <x:c r="B5" s="25" t="str">
        <x:v>官网与活动</x:v>
      </x:c>
      <x:c r="C5" s="25" t="str">
        <x:v>待实操</x:v>
      </x:c>
      <x:c r="D5" s="25" t="str">
        <x:v>P1</x:v>
      </x:c>
      <x:c r="E5" s="24" t="str">
        <x:v>官网访客</x:v>
      </x:c>
      <x:c r="F5" s="24" t="str">
        <x:v>官网当前线上版本；记录测试日期</x:v>
      </x:c>
      <x:c r="G5" s="24" t="str">
        <x:v>桌面浏览器；记录出口 IP</x:v>
      </x:c>
      <x:c r="H5" s="24" t="str">
        <x:v>官网正常可达</x:v>
      </x:c>
      <x:c r="I5" s="24" t="str">
        <x:v>同一导航连续点击 10 次</x:v>
      </x:c>
      <x:c r="J5" s="24" t="str">
        <x:v>首次点击后短暂锁定；当前菜单高亮</x:v>
      </x:c>
      <x:c r="K5" s="24" t="str">
        <x:v>页面加载失败，请重试。</x:v>
      </x:c>
      <x:c r="L5" s="24" t="str">
        <x:v>页面错误态</x:v>
      </x:c>
      <x:c r="M5" s="24" t="str">
        <x:v>待实操；期望只产生一次有效跳转，不重复打开页面</x:v>
      </x:c>
      <x:c r="N5" s="24" t="str">
        <x:v>300ms 防抖</x:v>
      </x:c>
      <x:c r="O5" s="24" t="str">
        <x:v>路由、来源、耗时、状态码、追踪码</x:v>
      </x:c>
      <x:c r="P5" s="24" t="str">
        <x:v>自动恢复或点击重试</x:v>
      </x:c>
      <x:c r="Q5" s="24" t="str">
        <x:v>待补 WEB-001</x:v>
      </x:c>
      <x:c r="R5" s="24" t="str"/>
    </x:row>
    <x:row r="6" ht="68" customHeight="1">
      <x:c r="A6" s="25" t="str">
        <x:v>WEB-002</x:v>
      </x:c>
      <x:c r="B6" s="25" t="str">
        <x:v>官网与活动</x:v>
      </x:c>
      <x:c r="C6" s="25" t="str">
        <x:v>待实操</x:v>
      </x:c>
      <x:c r="D6" s="25" t="str">
        <x:v>P1</x:v>
      </x:c>
      <x:c r="E6" s="24" t="str">
        <x:v>官网访客</x:v>
      </x:c>
      <x:c r="F6" s="24" t="str">
        <x:v>官网当前线上版本</x:v>
      </x:c>
      <x:c r="G6" s="24" t="str">
        <x:v>桌面浏览器；记录出口 IP</x:v>
      </x:c>
      <x:c r="H6" s="24" t="str">
        <x:v>首页存在多个注册 CTA</x:v>
      </x:c>
      <x:c r="I6" s="24" t="str">
        <x:v>顶栏、首屏、浮标、侧栏各点击 3 次</x:v>
      </x:c>
      <x:c r="J6" s="24" t="str">
        <x:v>弹窗打开期间不重复创建实例</x:v>
      </x:c>
      <x:c r="K6" s="24" t="str">
        <x:v>无错误时不提示</x:v>
      </x:c>
      <x:c r="L6" s="24" t="str">
        <x:v>注册弹窗</x:v>
      </x:c>
      <x:c r="M6" s="24" t="str">
        <x:v>待实操；期望所有 CTA 进入同一注册流程，并保留来源位置</x:v>
      </x:c>
      <x:c r="N6" s="24" t="str">
        <x:v>500ms 防抖</x:v>
      </x:c>
      <x:c r="O6" s="24" t="str">
        <x:v>CTA 位置、活动 ID、注册来源</x:v>
      </x:c>
      <x:c r="P6" s="24" t="str">
        <x:v>关闭后可重新打开</x:v>
      </x:c>
      <x:c r="Q6" s="24" t="str">
        <x:v>待补 WEB-002</x:v>
      </x:c>
      <x:c r="R6" s="24" t="str"/>
    </x:row>
    <x:row r="7" ht="68" customHeight="1">
      <x:c r="A7" s="25" t="str">
        <x:v>WEB-003</x:v>
      </x:c>
      <x:c r="B7" s="25" t="str">
        <x:v>官网与活动</x:v>
      </x:c>
      <x:c r="C7" s="25" t="str">
        <x:v>待实操</x:v>
      </x:c>
      <x:c r="D7" s="25" t="str">
        <x:v>P0</x:v>
      </x:c>
      <x:c r="E7" s="24" t="str">
        <x:v>官网访客</x:v>
      </x:c>
      <x:c r="F7" s="24" t="str">
        <x:v>官网当前线上版本</x:v>
      </x:c>
      <x:c r="G7" s="24" t="str">
        <x:v>桌面与 390×844 移动视口；记录 IP</x:v>
      </x:c>
      <x:c r="H7" s="24" t="str">
        <x:v>注册弹窗已打开</x:v>
      </x:c>
      <x:c r="I7" s="24" t="str">
        <x:v>关闭按钮、遮罩、Esc/系统返回各 3 次</x:v>
      </x:c>
      <x:c r="J7" s="24" t="str">
        <x:v>关闭按钮始终可见；背景不可操作</x:v>
      </x:c>
      <x:c r="K7" s="24" t="str">
        <x:v>无</x:v>
      </x:c>
      <x:c r="L7" s="24" t="str">
        <x:v>弹窗</x:v>
      </x:c>
      <x:c r="M7" s="24" t="str">
        <x:v>待实操；期望支持明确退出，关闭后焦点回到触发入口</x:v>
      </x:c>
      <x:c r="N7" s="24" t="str">
        <x:v>无</x:v>
      </x:c>
      <x:c r="O7" s="24" t="str">
        <x:v>打开来源、关闭方式、异常退出</x:v>
      </x:c>
      <x:c r="P7" s="24" t="str">
        <x:v>可即时恢复</x:v>
      </x:c>
      <x:c r="Q7" s="24" t="str">
        <x:v>待补 WEB-003</x:v>
      </x:c>
      <x:c r="R7" s="24" t="str"/>
    </x:row>
    <x:row r="8" ht="68" customHeight="1">
      <x:c r="A8" s="25" t="str">
        <x:v>WEB-004</x:v>
      </x:c>
      <x:c r="B8" s="25" t="str">
        <x:v>官网与活动</x:v>
      </x:c>
      <x:c r="C8" s="25" t="str">
        <x:v>待实操</x:v>
      </x:c>
      <x:c r="D8" s="25" t="str">
        <x:v>P0</x:v>
      </x:c>
      <x:c r="E8" s="24" t="str">
        <x:v>移动端访客</x:v>
      </x:c>
      <x:c r="F8" s="24" t="str">
        <x:v>官网当前线上版本</x:v>
      </x:c>
      <x:c r="G8" s="24" t="str">
        <x:v>320/375/390/430px；Wi-Fi 与 4G</x:v>
      </x:c>
      <x:c r="H8" s="24" t="str">
        <x:v>首页、下拉菜单和注册弹窗可打开</x:v>
      </x:c>
      <x:c r="I8" s="24" t="str">
        <x:v>每种视口各 3 次</x:v>
      </x:c>
      <x:c r="J8" s="24" t="str">
        <x:v>菜单折叠；弹窗不超过视口；主按钮完整可见</x:v>
      </x:c>
      <x:c r="K8" s="24" t="str">
        <x:v>布局异常不应用提示文案掩盖</x:v>
      </x:c>
      <x:c r="L8" s="24" t="str">
        <x:v>无</x:v>
      </x:c>
      <x:c r="M8" s="24" t="str">
        <x:v>待实操；期望无横向滚动、遮挡和不可达控件</x:v>
      </x:c>
      <x:c r="N8" s="24" t="str">
        <x:v>无</x:v>
      </x:c>
      <x:c r="O8" s="24" t="str">
        <x:v>视口、溢出尺寸、JS 错误</x:v>
      </x:c>
      <x:c r="P8" s="24" t="str">
        <x:v>页面自适应；失败可转桌面端</x:v>
      </x:c>
      <x:c r="Q8" s="24" t="str">
        <x:v>待补 WEB-004</x:v>
      </x:c>
      <x:c r="R8" s="24" t="str"/>
    </x:row>
    <x:row r="9" ht="68" customHeight="1">
      <x:c r="A9" s="25" t="str">
        <x:v>WEB-005</x:v>
      </x:c>
      <x:c r="B9" s="25" t="str">
        <x:v>官网与活动</x:v>
      </x:c>
      <x:c r="C9" s="25" t="str">
        <x:v>待实操</x:v>
      </x:c>
      <x:c r="D9" s="25" t="str">
        <x:v>P1</x:v>
      </x:c>
      <x:c r="E9" s="24" t="str">
        <x:v>官网访客</x:v>
      </x:c>
      <x:c r="F9" s="24" t="str">
        <x:v>官网当前线上版本</x:v>
      </x:c>
      <x:c r="G9" s="24" t="str">
        <x:v>桌面/移动；记录 IP</x:v>
      </x:c>
      <x:c r="H9" s="24" t="str">
        <x:v>轮播或活动卡片包含 CTA</x:v>
      </x:c>
      <x:c r="I9" s="24" t="str">
        <x:v>每个 CTA 点击 3 次</x:v>
      </x:c>
      <x:c r="J9" s="24" t="str">
        <x:v>无有效目标时禁用或隐藏</x:v>
      </x:c>
      <x:c r="K9" s="24" t="str">
        <x:v>活动已结束或暂不可用。</x:v>
      </x:c>
      <x:c r="L9" s="24" t="str">
        <x:v>Toast 或状态弹窗</x:v>
      </x:c>
      <x:c r="M9" s="24" t="str">
        <x:v>待实操；期望不得出现视觉可点击但无响应的入口</x:v>
      </x:c>
      <x:c r="N9" s="24" t="str">
        <x:v>1s</x:v>
      </x:c>
      <x:c r="O9" s="24" t="str">
        <x:v>轮播位、活动 ID、目标 URL</x:v>
      </x:c>
      <x:c r="P9" s="24" t="str">
        <x:v>返回当前页并使用其他入口</x:v>
      </x:c>
      <x:c r="Q9" s="24" t="str">
        <x:v>待补 WEB-005</x:v>
      </x:c>
      <x:c r="R9" s="24" t="str"/>
    </x:row>
    <x:row r="10" ht="68" customHeight="1">
      <x:c r="A10" s="25" t="str">
        <x:v>WEB-006</x:v>
      </x:c>
      <x:c r="B10" s="25" t="str">
        <x:v>官网与活动</x:v>
      </x:c>
      <x:c r="C10" s="25" t="str">
        <x:v>待实操</x:v>
      </x:c>
      <x:c r="D10" s="25" t="str">
        <x:v>P1</x:v>
      </x:c>
      <x:c r="E10" s="24" t="str">
        <x:v>官网访客</x:v>
      </x:c>
      <x:c r="F10" s="24" t="str">
        <x:v>官网当前线上版本</x:v>
      </x:c>
      <x:c r="G10" s="24" t="str">
        <x:v>桌面/移动；记录 IP</x:v>
      </x:c>
      <x:c r="H10" s="24" t="str">
        <x:v>活动浮层、咨询卡和注册弹窗均可触发</x:v>
      </x:c>
      <x:c r="I10" s="24" t="str">
        <x:v>快速交替点击 20 次</x:v>
      </x:c>
      <x:c r="J10" s="24" t="str">
        <x:v>最高优先级弹窗独占焦点；其余收起</x:v>
      </x:c>
      <x:c r="K10" s="24" t="str">
        <x:v>请先完成或关闭当前窗口。</x:v>
      </x:c>
      <x:c r="L10" s="24" t="str">
        <x:v>Toast</x:v>
      </x:c>
      <x:c r="M10" s="24" t="str">
        <x:v>待实操；期望不叠加多个遮罩或遮挡关闭按钮</x:v>
      </x:c>
      <x:c r="N10" s="24" t="str">
        <x:v>500ms</x:v>
      </x:c>
      <x:c r="O10" s="24" t="str">
        <x:v>弹层栈、打开来源、关闭原因</x:v>
      </x:c>
      <x:c r="P10" s="24" t="str">
        <x:v>关闭当前弹窗后恢复</x:v>
      </x:c>
      <x:c r="Q10" s="24" t="str">
        <x:v>待补 WEB-006</x:v>
      </x:c>
      <x:c r="R10" s="24" t="str"/>
    </x:row>
    <x:row r="11" ht="68" customHeight="1">
      <x:c r="A11" s="25" t="str">
        <x:v>WEB-007</x:v>
      </x:c>
      <x:c r="B11" s="25" t="str">
        <x:v>官网与活动</x:v>
      </x:c>
      <x:c r="C11" s="25" t="str">
        <x:v>待实操</x:v>
      </x:c>
      <x:c r="D11" s="25" t="str">
        <x:v>P2</x:v>
      </x:c>
      <x:c r="E11" s="24" t="str">
        <x:v>官网访客</x:v>
      </x:c>
      <x:c r="F11" s="24" t="str">
        <x:v>官网当前线上版本</x:v>
      </x:c>
      <x:c r="G11" s="24" t="str">
        <x:v>桌面/移动；慢网与正常网</x:v>
      </x:c>
      <x:c r="H11" s="24" t="str">
        <x:v>底部注册条满足展示条件</x:v>
      </x:c>
      <x:c r="I11" s="24" t="str">
        <x:v>刷新 10 次、慢网 3 次</x:v>
      </x:c>
      <x:c r="J11" s="24" t="str">
        <x:v>稳定占位；重复实例合并</x:v>
      </x:c>
      <x:c r="K11" s="24" t="str">
        <x:v>加载失败时不展示残缺表单</x:v>
      </x:c>
      <x:c r="L11" s="24" t="str">
        <x:v>无</x:v>
      </x:c>
      <x:c r="M11" s="24" t="str">
        <x:v>待实操；期望展示规则稳定且不遮挡页脚或主操作</x:v>
      </x:c>
      <x:c r="N11" s="24" t="str">
        <x:v>同会话只初始化 1 次</x:v>
      </x:c>
      <x:c r="O11" s="24" t="str">
        <x:v>展示条件、加载耗时、实例数</x:v>
      </x:c>
      <x:c r="P11" s="24" t="str">
        <x:v>刷新或使用主注册入口</x:v>
      </x:c>
      <x:c r="Q11" s="24" t="str">
        <x:v>待补 WEB-007</x:v>
      </x:c>
      <x:c r="R11" s="24" t="str"/>
    </x:row>
    <x:row r="12" ht="68" customHeight="1">
      <x:c r="A12" s="25" t="str">
        <x:v>WEB-008</x:v>
      </x:c>
      <x:c r="B12" s="25" t="str">
        <x:v>官网与活动</x:v>
      </x:c>
      <x:c r="C12" s="25" t="str">
        <x:v>待实操</x:v>
      </x:c>
      <x:c r="D12" s="25" t="str">
        <x:v>P1</x:v>
      </x:c>
      <x:c r="E12" s="24" t="str">
        <x:v>官网访客</x:v>
      </x:c>
      <x:c r="F12" s="24" t="str">
        <x:v>官网反馈页当前版本</x:v>
      </x:c>
      <x:c r="G12" s="24" t="str">
        <x:v>桌面/移动；记录 IP</x:v>
      </x:c>
      <x:c r="H12" s="24" t="str">
        <x:v>打开问题反馈</x:v>
      </x:c>
      <x:c r="I12" s="24" t="str">
        <x:v>空值、201 字、非法电话、重复提交各 3 次</x:v>
      </x:c>
      <x:c r="J12" s="24" t="str">
        <x:v>校验失败保持可编辑；提交中 Loading</x:v>
      </x:c>
      <x:c r="K12" s="24" t="str">
        <x:v>请填写问题描述。
联系电话格式不正确。
提交失败，请稍后重试。</x:v>
      </x:c>
      <x:c r="L12" s="24" t="str">
        <x:v>字段提示 + Toast</x:v>
      </x:c>
      <x:c r="M12" s="24" t="str">
        <x:v>待实操；期望成功只生成一个反馈编号，失败保留草稿</x:v>
      </x:c>
      <x:c r="N12" s="24" t="str">
        <x:v>重复提交 1s；失败重试 5s</x:v>
      </x:c>
      <x:c r="O12" s="24" t="str">
        <x:v>反馈编号、字段长度、追踪码；联系方式脱敏</x:v>
      </x:c>
      <x:c r="P12" s="24" t="str">
        <x:v>修改或重试</x:v>
      </x:c>
      <x:c r="Q12" s="24" t="str">
        <x:v>待补 WEB-008</x:v>
      </x:c>
      <x:c r="R12" s="24" t="str"/>
    </x:row>
    <x:row r="13" ht="68" customHeight="1">
      <x:c r="A13" s="25" t="str">
        <x:v>WEB-009</x:v>
      </x:c>
      <x:c r="B13" s="25" t="str">
        <x:v>官网与活动</x:v>
      </x:c>
      <x:c r="C13" s="25" t="str">
        <x:v>待实操</x:v>
      </x:c>
      <x:c r="D13" s="25" t="str">
        <x:v>P1</x:v>
      </x:c>
      <x:c r="E13" s="24" t="str">
        <x:v>官网访客</x:v>
      </x:c>
      <x:c r="F13" s="24" t="str">
        <x:v>官网客服入口当前版本</x:v>
      </x:c>
      <x:c r="G13" s="24" t="str">
        <x:v>桌面/移动；记录 IP</x:v>
      </x:c>
      <x:c r="H13" s="24" t="str">
        <x:v>打开在线客服/购买咨询</x:v>
      </x:c>
      <x:c r="I13" s="24" t="str">
        <x:v>连续进入 3 次</x:v>
      </x:c>
      <x:c r="J13" s="24" t="str">
        <x:v>客服入口携带当前产品上下文</x:v>
      </x:c>
      <x:c r="K13" s="24" t="str">
        <x:v>客服暂时不可用，请稍后再试。</x:v>
      </x:c>
      <x:c r="L13" s="24" t="str">
        <x:v>离线弹窗</x:v>
      </x:c>
      <x:c r="M13" s="24" t="str">
        <x:v>待实操；期望进入 EaseGlobal Browser 服务队列，不串入其他产品</x:v>
      </x:c>
      <x:c r="N13" s="24" t="str">
        <x:v>失败后 30s</x:v>
      </x:c>
      <x:c r="O13" s="24" t="str">
        <x:v>产品线、页面、会话 ID、服务时间</x:v>
      </x:c>
      <x:c r="P13" s="24" t="str">
        <x:v>转帮助中心或反馈表</x:v>
      </x:c>
      <x:c r="Q13" s="24" t="str">
        <x:v>待补 WEB-009</x:v>
      </x:c>
      <x:c r="R13" s="24" t="str"/>
    </x:row>
    <x:row r="14" ht="68" customHeight="1">
      <x:c r="A14" s="25" t="str">
        <x:v>WEB-010</x:v>
      </x:c>
      <x:c r="B14" s="25" t="str">
        <x:v>官网与活动</x:v>
      </x:c>
      <x:c r="C14" s="25" t="str">
        <x:v>待实操</x:v>
      </x:c>
      <x:c r="D14" s="25" t="str">
        <x:v>P1</x:v>
      </x:c>
      <x:c r="E14" s="24" t="str">
        <x:v>官网访客</x:v>
      </x:c>
      <x:c r="F14" s="24" t="str">
        <x:v>官网当前线上版本</x:v>
      </x:c>
      <x:c r="G14" s="24" t="str">
        <x:v>断网、超时、维护网络；记录 IP</x:v>
      </x:c>
      <x:c r="H14" s="24" t="str">
        <x:v>打开失效链接或请求中断</x:v>
      </x:c>
      <x:c r="I14" s="24" t="str">
        <x:v>每类重试 3 次</x:v>
      </x:c>
      <x:c r="J14" s="24" t="str">
        <x:v>显示重试和返回首页；维护期禁用不可用 CTA</x:v>
      </x:c>
      <x:c r="K14" s="24" t="str">
        <x:v>网络异常，请检查连接后重试。
系统维护中，预计于 YYYY-MM-DD HH:mm 恢复。</x:v>
      </x:c>
      <x:c r="L14" s="24" t="str">
        <x:v>错误页/维护弹窗</x:v>
      </x:c>
      <x:c r="M14" s="24" t="str">
        <x:v>待实操；期望无无限加载，协议和外链失效有兜底</x:v>
      </x:c>
      <x:c r="N14" s="24" t="str">
        <x:v>指数退避 1/3/10s</x:v>
      </x:c>
      <x:c r="O14" s="24" t="str">
        <x:v>URL、状态码、维护窗口、追踪码</x:v>
      </x:c>
      <x:c r="P14" s="24" t="str">
        <x:v>自动重试、手动重试或返回首页</x:v>
      </x:c>
      <x:c r="Q14" s="24" t="str">
        <x:v>待补 WEB-010</x:v>
      </x:c>
      <x:c r="R14" s="24" t="str"/>
    </x:row>
    <x:row r="15" ht="68" customHeight="1">
      <x:c r="A15" s="25" t="str">
        <x:v>DL-001</x:v>
      </x:c>
      <x:c r="B15" s="25" t="str">
        <x:v>下载与更新</x:v>
      </x:c>
      <x:c r="C15" s="25" t="str">
        <x:v>待实操</x:v>
      </x:c>
      <x:c r="D15" s="25" t="str">
        <x:v>P1</x:v>
      </x:c>
      <x:c r="E15" s="24" t="str">
        <x:v>官网访客</x:v>
      </x:c>
      <x:c r="F15" s="24" t="str">
        <x:v>官网下载页当前版本</x:v>
      </x:c>
      <x:c r="G15" s="24" t="str">
        <x:v>Windows/macOS/Linux；记录 IP</x:v>
      </x:c>
      <x:c r="H15" s="24" t="str">
        <x:v>系统识别可用</x:v>
      </x:c>
      <x:c r="I15" s="24" t="str">
        <x:v>每种系统和 UA 各 3 次</x:v>
      </x:c>
      <x:c r="J15" s="24" t="str">
        <x:v>自动推荐匹配版本，允许手动切换</x:v>
      </x:c>
      <x:c r="K15" s="24" t="str">
        <x:v>未能识别当前系统，请手动选择安装包。</x:v>
      </x:c>
      <x:c r="L15" s="24" t="str">
        <x:v>页面提示</x:v>
      </x:c>
      <x:c r="M15" s="24" t="str">
        <x:v>待实操；期望识别错误时不直接触发错误下载</x:v>
      </x:c>
      <x:c r="N15" s="24" t="str">
        <x:v>无</x:v>
      </x:c>
      <x:c r="O15" s="24" t="str">
        <x:v>UA、识别结果、人工选择、包 ID</x:v>
      </x:c>
      <x:c r="P15" s="24" t="str">
        <x:v>手动选择版本</x:v>
      </x:c>
      <x:c r="Q15" s="24" t="str">
        <x:v>待补 DL-001</x:v>
      </x:c>
      <x:c r="R15" s="24" t="str"/>
    </x:row>
    <x:row r="16" ht="68" customHeight="1">
      <x:c r="A16" s="25" t="str">
        <x:v>DL-002</x:v>
      </x:c>
      <x:c r="B16" s="25" t="str">
        <x:v>下载与更新</x:v>
      </x:c>
      <x:c r="C16" s="25" t="str">
        <x:v>待实操</x:v>
      </x:c>
      <x:c r="D16" s="25" t="str">
        <x:v>P0</x:v>
      </x:c>
      <x:c r="E16" s="24" t="str">
        <x:v>Windows/macOS 用户</x:v>
      </x:c>
      <x:c r="F16" s="24" t="str">
        <x:v>官网下载页和当前客户端版本</x:v>
      </x:c>
      <x:c r="G16" s="24" t="str">
        <x:v>同一设备/IP</x:v>
      </x:c>
      <x:c r="H16" s="24" t="str">
        <x:v>安装包可下载</x:v>
      </x:c>
      <x:c r="I16" s="24" t="str">
        <x:v>1 秒连击 10/20/56/100 次；并发 5</x:v>
      </x:c>
      <x:c r="J16" s="24" t="str">
        <x:v>首次点击后显示正在准备下载并合并重复请求</x:v>
      </x:c>
      <x:c r="K16" s="24" t="str">
        <x:v>下载已开始，请勿重复点击。</x:v>
      </x:c>
      <x:c r="L16" s="24" t="str">
        <x:v>Toast</x:v>
      </x:c>
      <x:c r="M16" s="24" t="str">
        <x:v>待实操；期望同一会话同一版本只生成一个有效下载任务</x:v>
      </x:c>
      <x:c r="N16" s="24" t="str">
        <x:v>1s；任务存在期间锁定</x:v>
      </x:c>
      <x:c r="O16" s="24" t="str">
        <x:v>版本、构建号、CDN、点击和实际请求数</x:v>
      </x:c>
      <x:c r="P16" s="24" t="str">
        <x:v>可查看下载或重新下载</x:v>
      </x:c>
      <x:c r="Q16" s="24" t="str">
        <x:v>待补 DL-002</x:v>
      </x:c>
      <x:c r="R16" s="24" t="str"/>
    </x:row>
    <x:row r="17" ht="68" customHeight="1">
      <x:c r="A17" s="25" t="str">
        <x:v>DL-003</x:v>
      </x:c>
      <x:c r="B17" s="25" t="str">
        <x:v>下载与更新</x:v>
      </x:c>
      <x:c r="C17" s="25" t="str">
        <x:v>待实操</x:v>
      </x:c>
      <x:c r="D17" s="25" t="str">
        <x:v>P1</x:v>
      </x:c>
      <x:c r="E17" s="24" t="str">
        <x:v>Mac 用户</x:v>
      </x:c>
      <x:c r="F17" s="24" t="str">
        <x:v>官网下载页当前版本</x:v>
      </x:c>
      <x:c r="G17" s="24" t="str">
        <x:v>Intel 与 Apple Silicon；记录 IP</x:v>
      </x:c>
      <x:c r="H17" s="24" t="str">
        <x:v>芯片类型未知或选择错误</x:v>
      </x:c>
      <x:c r="I17" s="24" t="str">
        <x:v>两种芯片包各 3 次</x:v>
      </x:c>
      <x:c r="J17" s="24" t="str">
        <x:v>未选择芯片前主按钮禁用</x:v>
      </x:c>
      <x:c r="K17" s="24" t="str">
        <x:v>请选择 Mac 芯片类型。</x:v>
      </x:c>
      <x:c r="L17" s="24" t="str">
        <x:v>字段提示</x:v>
      </x:c>
      <x:c r="M17" s="24" t="str">
        <x:v>待实操；期望下载包与芯片匹配，并提供识别方法</x:v>
      </x:c>
      <x:c r="N17" s="24" t="str">
        <x:v>无</x:v>
      </x:c>
      <x:c r="O17" s="24" t="str">
        <x:v>芯片选择、包 ID、安装结果</x:v>
      </x:c>
      <x:c r="P17" s="24" t="str">
        <x:v>重新选择正确安装包</x:v>
      </x:c>
      <x:c r="Q17" s="24" t="str">
        <x:v>待补 DL-003</x:v>
      </x:c>
      <x:c r="R17" s="24" t="str"/>
    </x:row>
    <x:row r="18" ht="68" customHeight="1">
      <x:c r="A18" s="25" t="str">
        <x:v>DL-004</x:v>
      </x:c>
      <x:c r="B18" s="25" t="str">
        <x:v>下载与更新</x:v>
      </x:c>
      <x:c r="C18" s="25" t="str">
        <x:v>待实操</x:v>
      </x:c>
      <x:c r="D18" s="25" t="str">
        <x:v>P1</x:v>
      </x:c>
      <x:c r="E18" s="24" t="str">
        <x:v>不支持系统用户</x:v>
      </x:c>
      <x:c r="F18" s="24" t="str">
        <x:v>官网下载页当前版本</x:v>
      </x:c>
      <x:c r="G18" s="24" t="str">
        <x:v>iOS/Android/Linux/低版本系统</x:v>
      </x:c>
      <x:c r="H18" s="24" t="str">
        <x:v>当前系统不受支持</x:v>
      </x:c>
      <x:c r="I18" s="24" t="str">
        <x:v>每种系统 3 次</x:v>
      </x:c>
      <x:c r="J18" s="24" t="str">
        <x:v>桌面安装按钮禁用；显示系统要求或二维码</x:v>
      </x:c>
      <x:c r="K18" s="24" t="str">
        <x:v>暂不支持当前系统，请使用 Windows 10 及以上或受支持的 macOS 版本。</x:v>
      </x:c>
      <x:c r="L18" s="24" t="str">
        <x:v>页面提示</x:v>
      </x:c>
      <x:c r="M18" s="24" t="str">
        <x:v>待实操；期望不下发不可安装文件</x:v>
      </x:c>
      <x:c r="N18" s="24" t="str">
        <x:v>无</x:v>
      </x:c>
      <x:c r="O18" s="24" t="str">
        <x:v>系统类型、不支持原因</x:v>
      </x:c>
      <x:c r="P18" s="24" t="str">
        <x:v>切换受支持设备</x:v>
      </x:c>
      <x:c r="Q18" s="24" t="str">
        <x:v>待补 DL-004</x:v>
      </x:c>
      <x:c r="R18" s="24" t="str"/>
    </x:row>
    <x:row r="19" ht="68" customHeight="1">
      <x:c r="A19" s="25" t="str">
        <x:v>DL-005</x:v>
      </x:c>
      <x:c r="B19" s="25" t="str">
        <x:v>下载与更新</x:v>
      </x:c>
      <x:c r="C19" s="25" t="str">
        <x:v>待实操</x:v>
      </x:c>
      <x:c r="D19" s="25" t="str">
        <x:v>P1</x:v>
      </x:c>
      <x:c r="E19" s="24" t="str">
        <x:v>下载用户</x:v>
      </x:c>
      <x:c r="F19" s="24" t="str">
        <x:v>官网下载页当前版本</x:v>
      </x:c>
      <x:c r="G19" s="24" t="str">
        <x:v>Wi-Fi/4G 切换；记录 IP</x:v>
      </x:c>
      <x:c r="H19" s="24" t="str">
        <x:v>安装包下载中</x:v>
      </x:c>
      <x:c r="I19" s="24" t="str">
        <x:v>中断 3 次、换网 3 次</x:v>
      </x:c>
      <x:c r="J19" s="24" t="str">
        <x:v>支持续传则显示继续下载，否则重新下载</x:v>
      </x:c>
      <x:c r="K19" s="24" t="str">
        <x:v>下载中断，请继续或重新下载。</x:v>
      </x:c>
      <x:c r="L19" s="24" t="str">
        <x:v>浏览器/页面提示</x:v>
      </x:c>
      <x:c r="M19" s="24" t="str">
        <x:v>待实操；期望残缺文件不可进入安装流程</x:v>
      </x:c>
      <x:c r="N19" s="24" t="str">
        <x:v>重试 3/10/30s</x:v>
      </x:c>
      <x:c r="O19" s="24" t="str">
        <x:v>字节范围、CDN、失败原因、文件大小</x:v>
      </x:c>
      <x:c r="P19" s="24" t="str">
        <x:v>续传或重新下载</x:v>
      </x:c>
      <x:c r="Q19" s="24" t="str">
        <x:v>待补 DL-005</x:v>
      </x:c>
      <x:c r="R19" s="24" t="str"/>
    </x:row>
    <x:row r="20" ht="68" customHeight="1">
      <x:c r="A20" s="25" t="str">
        <x:v>DL-006</x:v>
      </x:c>
      <x:c r="B20" s="25" t="str">
        <x:v>下载与更新</x:v>
      </x:c>
      <x:c r="C20" s="25" t="str">
        <x:v>待实操</x:v>
      </x:c>
      <x:c r="D20" s="25" t="str">
        <x:v>P0</x:v>
      </x:c>
      <x:c r="E20" s="24" t="str">
        <x:v>安装用户</x:v>
      </x:c>
      <x:c r="F20" s="24" t="str">
        <x:v>当前发布安装包</x:v>
      </x:c>
      <x:c r="G20" s="24" t="str">
        <x:v>Windows/macOS；记录设备</x:v>
      </x:c>
      <x:c r="H20" s="24" t="str">
        <x:v>下载完成</x:v>
      </x:c>
      <x:c r="I20" s="24" t="str">
        <x:v>截断、篡改、旧包各 1 次</x:v>
      </x:c>
      <x:c r="J20" s="24" t="str">
        <x:v>校验期间安装不可继续</x:v>
      </x:c>
      <x:c r="K20" s="24" t="str">
        <x:v>安装包校验失败，请从官网下载最新版本。</x:v>
      </x:c>
      <x:c r="L20" s="24" t="str">
        <x:v>系统/客户端弹窗</x:v>
      </x:c>
      <x:c r="M20" s="24" t="str">
        <x:v>待实操；期望校验哈希、签名、发布者和构建号，坏包不安装</x:v>
      </x:c>
      <x:c r="N20" s="24" t="str">
        <x:v>无</x:v>
      </x:c>
      <x:c r="O20" s="24" t="str">
        <x:v>校验项和失败码，不上传安装包内容</x:v>
      </x:c>
      <x:c r="P20" s="24" t="str">
        <x:v>删除坏包并重新下载</x:v>
      </x:c>
      <x:c r="Q20" s="24" t="str">
        <x:v>待补 DL-006</x:v>
      </x:c>
      <x:c r="R20" s="24" t="str"/>
    </x:row>
    <x:row r="21" ht="68" customHeight="1">
      <x:c r="A21" s="25" t="str">
        <x:v>DL-007</x:v>
      </x:c>
      <x:c r="B21" s="25" t="str">
        <x:v>下载与更新</x:v>
      </x:c>
      <x:c r="C21" s="25" t="str">
        <x:v>待实操</x:v>
      </x:c>
      <x:c r="D21" s="25" t="str">
        <x:v>P0</x:v>
      </x:c>
      <x:c r="E21" s="24" t="str">
        <x:v>已安装用户</x:v>
      </x:c>
      <x:c r="F21" s="24" t="str">
        <x:v>当前客户端升级到目标版本</x:v>
      </x:c>
      <x:c r="G21" s="24" t="str">
        <x:v>Windows/macOS；记录设备/IP</x:v>
      </x:c>
      <x:c r="H21" s="24" t="str">
        <x:v>可覆盖升级</x:v>
      </x:c>
      <x:c r="I21" s="24" t="str">
        <x:v>正常、断网、断电/强退各 1 次</x:v>
      </x:c>
      <x:c r="J21" s="24" t="str">
        <x:v>更新中禁用重复操作并显示进度</x:v>
      </x:c>
      <x:c r="K21" s="24" t="str">
        <x:v>更新失败，已保留原版本和本地数据。</x:v>
      </x:c>
      <x:c r="L21" s="24" t="str">
        <x:v>更新结果弹窗</x:v>
      </x:c>
      <x:c r="M21" s="24" t="str">
        <x:v>待实操；期望升级原子化，失败自动回滚</x:v>
      </x:c>
      <x:c r="N21" s="24" t="str">
        <x:v>失败后 30s</x:v>
      </x:c>
      <x:c r="O21" s="24" t="str">
        <x:v>原/目标版本、迁移步骤、回滚结果</x:v>
      </x:c>
      <x:c r="P21" s="24" t="str">
        <x:v>自动回滚或官网下载重装</x:v>
      </x:c>
      <x:c r="Q21" s="24" t="str">
        <x:v>待补 DL-007</x:v>
      </x:c>
      <x:c r="R21" s="24" t="str"/>
    </x:row>
    <x:row r="22" ht="68" customHeight="1">
      <x:c r="A22" s="25" t="str">
        <x:v>DL-008</x:v>
      </x:c>
      <x:c r="B22" s="25" t="str">
        <x:v>下载与更新</x:v>
      </x:c>
      <x:c r="C22" s="25" t="str">
        <x:v>待实操</x:v>
      </x:c>
      <x:c r="D22" s="25" t="str">
        <x:v>P0</x:v>
      </x:c>
      <x:c r="E22" s="24" t="str">
        <x:v>安装用户</x:v>
      </x:c>
      <x:c r="F22" s="24" t="str">
        <x:v>当前客户端安装包</x:v>
      </x:c>
      <x:c r="G22" s="24" t="str">
        <x:v>被 Gatekeeper/安全软件拦截的设备</x:v>
      </x:c>
      <x:c r="H22" s="24" t="str">
        <x:v>系统安全拦截</x:v>
      </x:c>
      <x:c r="I22" s="24" t="str">
        <x:v>每种拦截 2 次</x:v>
      </x:c>
      <x:c r="J22" s="24" t="str">
        <x:v>展示签名核验和官方排障入口</x:v>
      </x:c>
      <x:c r="K22" s="24" t="str">
        <x:v>无法验证安装包，请勿关闭系统安全保护。请核对发布者或重新下载。</x:v>
      </x:c>
      <x:c r="L22" s="24" t="str">
        <x:v>安全说明弹窗</x:v>
      </x:c>
      <x:c r="M22" s="24" t="str">
        <x:v>待实操；期望不以关闭防护或--no-sandbox作为首选方案</x:v>
      </x:c>
      <x:c r="N22" s="24" t="str">
        <x:v>无</x:v>
      </x:c>
      <x:c r="O22" s="24" t="str">
        <x:v>系统拦截码、签名状态、发布者</x:v>
      </x:c>
      <x:c r="P22" s="24" t="str">
        <x:v>恢复安全设置后重新验证</x:v>
      </x:c>
      <x:c r="Q22" s="24" t="str">
        <x:v>待补 DL-008</x:v>
      </x:c>
      <x:c r="R22" s="24" t="str"/>
    </x:row>
    <x:row r="23" ht="68" customHeight="1">
      <x:c r="A23" s="25" t="str">
        <x:v>DL-009</x:v>
      </x:c>
      <x:c r="B23" s="25" t="str">
        <x:v>下载与更新</x:v>
      </x:c>
      <x:c r="C23" s="25" t="str">
        <x:v>待实操</x:v>
      </x:c>
      <x:c r="D23" s="25" t="str">
        <x:v>P1</x:v>
      </x:c>
      <x:c r="E23" s="24" t="str">
        <x:v>已安装用户</x:v>
      </x:c>
      <x:c r="F23" s="24" t="str">
        <x:v>当前客户端与更新服务</x:v>
      </x:c>
      <x:c r="G23" s="24" t="str">
        <x:v>正常网/弱网；记录 IP</x:v>
      </x:c>
      <x:c r="H23" s="24" t="str">
        <x:v>检查更新</x:v>
      </x:c>
      <x:c r="I23" s="24" t="str">
        <x:v>连续检查 10 次、双窗口并发</x:v>
      </x:c>
      <x:c r="J23" s="24" t="str">
        <x:v>检查中禁用；强制更新和可选更新分开</x:v>
      </x:c>
      <x:c r="K23" s="24" t="str">
        <x:v>版本信息异常，请前往官网下载。
已是最新版本。</x:v>
      </x:c>
      <x:c r="L23" s="24" t="str">
        <x:v>Toast/更新弹窗</x:v>
      </x:c>
      <x:c r="M23" s="24" t="str">
        <x:v>待实操；期望客户端、下载页和更新日志使用同一版本基线</x:v>
      </x:c>
      <x:c r="N23" s="24" t="str">
        <x:v>检查失败后 30s</x:v>
      </x:c>
      <x:c r="O23" s="24" t="str">
        <x:v>当前/目标版本、渠道、构建号、校验结果</x:v>
      </x:c>
      <x:c r="P23" s="24" t="str">
        <x:v>重试、官网下载或回滚</x:v>
      </x:c>
      <x:c r="Q23" s="24" t="str">
        <x:v>待补 DL-009</x:v>
      </x:c>
      <x:c r="R23" s="24" t="str"/>
    </x:row>
    <x:row r="24" ht="68" customHeight="1">
      <x:c r="A24" s="25" t="str">
        <x:v>DL-010</x:v>
      </x:c>
      <x:c r="B24" s="25" t="str">
        <x:v>下载与更新</x:v>
      </x:c>
      <x:c r="C24" s="25" t="str">
        <x:v>待实操</x:v>
      </x:c>
      <x:c r="D24" s="25" t="str">
        <x:v>P1</x:v>
      </x:c>
      <x:c r="E24" s="24" t="str">
        <x:v>多名访客</x:v>
      </x:c>
      <x:c r="F24" s="24" t="str">
        <x:v>官网下载页当前版本</x:v>
      </x:c>
      <x:c r="G24" s="24" t="str">
        <x:v>多设备、同/不同 IP</x:v>
      </x:c>
      <x:c r="H24" s="24" t="str">
        <x:v>同一区域同时下载</x:v>
      </x:c>
      <x:c r="I24" s="24" t="str">
        <x:v>20/100 并发</x:v>
      </x:c>
      <x:c r="J24" s="24" t="str">
        <x:v>请求排队但状态明确</x:v>
      </x:c>
      <x:c r="K24" s="24" t="str">
        <x:v>下载服务繁忙，正在为你重试。</x:v>
      </x:c>
      <x:c r="L24" s="24" t="str">
        <x:v>页面状态</x:v>
      </x:c>
      <x:c r="M24" s="24" t="str">
        <x:v>待实操；期望不返回错误文件，自动切换可用 CDN</x:v>
      </x:c>
      <x:c r="N24" s="24" t="str">
        <x:v>指数退避 3/10/30s</x:v>
      </x:c>
      <x:c r="O24" s="24" t="str">
        <x:v>CDN 命中率、5xx、吞吐、构建号</x:v>
      </x:c>
      <x:c r="P24" s="24" t="str">
        <x:v>自动切换节点或稍后重试</x:v>
      </x:c>
      <x:c r="Q24" s="24" t="str">
        <x:v>待补 DL-010</x:v>
      </x:c>
      <x:c r="R24" s="24" t="str"/>
    </x:row>
    <x:row r="25" ht="68" customHeight="1">
      <x:c r="A25" s="25" t="str">
        <x:v>SMS-001</x:v>
      </x:c>
      <x:c r="B25" s="25" t="str">
        <x:v>注册与短信</x:v>
      </x:c>
      <x:c r="C25" s="25" t="str">
        <x:v>待实操</x:v>
      </x:c>
      <x:c r="D25" s="25" t="str">
        <x:v>P1</x:v>
      </x:c>
      <x:c r="E25" s="24" t="str">
        <x:v>待注册用户</x:v>
      </x:c>
      <x:c r="F25" s="24" t="str">
        <x:v>官网与客户端当前版本</x:v>
      </x:c>
      <x:c r="G25" s="24" t="str">
        <x:v>同一设备/IP</x:v>
      </x:c>
      <x:c r="H25" s="24" t="str">
        <x:v>手机号码为空或非法</x:v>
      </x:c>
      <x:c r="I25" s="24" t="str">
        <x:v>空值、10位、12位、字母、空格、境外号各 3 次</x:v>
      </x:c>
      <x:c r="J25" s="24" t="str">
        <x:v>格式合法前获取按钮禁用或点击后立即恢复</x:v>
      </x:c>
      <x:c r="K25" s="24" t="str">
        <x:v>空值：请输入手机号码。
格式：手机号码格式不正确。</x:v>
      </x:c>
      <x:c r="L25" s="24" t="str">
        <x:v>字段提示</x:v>
      </x:c>
      <x:c r="M25" s="24" t="str">
        <x:v>待实操；期望前后端同时拦截且不创建短信请求</x:v>
      </x:c>
      <x:c r="N25" s="24" t="str">
        <x:v>无</x:v>
      </x:c>
      <x:c r="O25" s="24" t="str">
        <x:v>只记校验类型，不记完整号码</x:v>
      </x:c>
      <x:c r="P25" s="24" t="str">
        <x:v>修正号码</x:v>
      </x:c>
      <x:c r="Q25" s="24" t="str">
        <x:v>待补 SMS-001</x:v>
      </x:c>
      <x:c r="R25" s="24" t="str"/>
    </x:row>
    <x:row r="26" ht="68" customHeight="1">
      <x:c r="A26" s="25" t="str">
        <x:v>SMS-002</x:v>
      </x:c>
      <x:c r="B26" s="25" t="str">
        <x:v>注册与短信</x:v>
      </x:c>
      <x:c r="C26" s="25" t="str">
        <x:v>待实操</x:v>
      </x:c>
      <x:c r="D26" s="25" t="str">
        <x:v>P0</x:v>
      </x:c>
      <x:c r="E26" s="24" t="str">
        <x:v>待注册用户</x:v>
      </x:c>
      <x:c r="F26" s="24" t="str">
        <x:v>官网与客户端当前版本</x:v>
      </x:c>
      <x:c r="G26" s="24" t="str">
        <x:v>同一设备/IP</x:v>
      </x:c>
      <x:c r="H26" s="24" t="str">
        <x:v>未勾用户协议</x:v>
      </x:c>
      <x:c r="I26" s="24" t="str">
        <x:v>提交 3 次</x:v>
      </x:c>
      <x:c r="J26" s="24" t="str">
        <x:v>注册不提交；协议区域高亮</x:v>
      </x:c>
      <x:c r="K26" s="24" t="str">
        <x:v>请阅读并同意《用户服务协议》和《隐私政策》。</x:v>
      </x:c>
      <x:c r="L26" s="24" t="str">
        <x:v>字段提示/Toast</x:v>
      </x:c>
      <x:c r="M26" s="24" t="str">
        <x:v>待实操；期望不创建账号，不默认勾选</x:v>
      </x:c>
      <x:c r="N26" s="24" t="str">
        <x:v>无</x:v>
      </x:c>
      <x:c r="O26" s="24" t="str">
        <x:v>记录协议版本和同意时间；未同意不写入</x:v>
      </x:c>
      <x:c r="P26" s="24" t="str">
        <x:v>勾选后继续</x:v>
      </x:c>
      <x:c r="Q26" s="24" t="str">
        <x:v>待补 SMS-002</x:v>
      </x:c>
      <x:c r="R26" s="24" t="str"/>
    </x:row>
    <x:row r="27" ht="68" customHeight="1">
      <x:c r="A27" s="25" t="str">
        <x:v>SMS-003</x:v>
      </x:c>
      <x:c r="B27" s="25" t="str">
        <x:v>注册与短信</x:v>
      </x:c>
      <x:c r="C27" s="25" t="str">
        <x:v>待实操</x:v>
      </x:c>
      <x:c r="D27" s="25" t="str">
        <x:v>P1</x:v>
      </x:c>
      <x:c r="E27" s="24" t="str">
        <x:v>待注册用户</x:v>
      </x:c>
      <x:c r="F27" s="24" t="str">
        <x:v>官网与客户端当前版本</x:v>
      </x:c>
      <x:c r="G27" s="24" t="str">
        <x:v>同一设备/IP</x:v>
      </x:c>
      <x:c r="H27" s="24" t="str">
        <x:v>邀请码为空、非法、过期或已用</x:v>
      </x:c>
      <x:c r="I27" s="24" t="str">
        <x:v>每类 3 次</x:v>
      </x:c>
      <x:c r="J27" s="24" t="str">
        <x:v>校验中 Loading；失败后可清空</x:v>
      </x:c>
      <x:c r="K27" s="24" t="str">
        <x:v>邀请码无效或已失效，可清空后继续注册。</x:v>
      </x:c>
      <x:c r="L27" s="24" t="str">
        <x:v>字段提示</x:v>
      </x:c>
      <x:c r="M27" s="24" t="str">
        <x:v>待实操；期望失败不污染手机号码和注册状态</x:v>
      </x:c>
      <x:c r="N27" s="24" t="str">
        <x:v>失败后 3s</x:v>
      </x:c>
      <x:c r="O27" s="24" t="str">
        <x:v>邀请码哈希、失败原因</x:v>
      </x:c>
      <x:c r="P27" s="24" t="str">
        <x:v>清空或更换邀请码</x:v>
      </x:c>
      <x:c r="Q27" s="24" t="str">
        <x:v>待补 SMS-003</x:v>
      </x:c>
      <x:c r="R27" s="24" t="str"/>
    </x:row>
    <x:row r="28" ht="68" customHeight="1">
      <x:c r="A28" s="25" t="str">
        <x:v>SMS-004</x:v>
      </x:c>
      <x:c r="B28" s="25" t="str">
        <x:v>注册与短信</x:v>
      </x:c>
      <x:c r="C28" s="25" t="str">
        <x:v>待实操</x:v>
      </x:c>
      <x:c r="D28" s="25" t="str">
        <x:v>P1</x:v>
      </x:c>
      <x:c r="E28" s="24" t="str">
        <x:v>待注册用户</x:v>
      </x:c>
      <x:c r="F28" s="24" t="str">
        <x:v>官网与客户端当前版本</x:v>
      </x:c>
      <x:c r="G28" s="24" t="str">
        <x:v>同一设备/IP/号码</x:v>
      </x:c>
      <x:c r="H28" s="24" t="str">
        <x:v>号码有效、风险校验通过</x:v>
      </x:c>
      <x:c r="I28" s="24" t="str">
        <x:v>正常获取 1 次</x:v>
      </x:c>
      <x:c r="J28" s="24" t="str">
        <x:v>发送中禁用；成功后 60s 倒计时</x:v>
      </x:c>
      <x:c r="K28" s="24" t="str">
        <x:v>验证码已发送，请查收短信。</x:v>
      </x:c>
      <x:c r="L28" s="24" t="str">
        <x:v>Toast</x:v>
      </x:c>
      <x:c r="M28" s="24" t="str">
        <x:v>待实操；期望只创建一次短信任务和唯一 request ID</x:v>
      </x:c>
      <x:c r="N28" s="24" t="str">
        <x:v>60s</x:v>
      </x:c>
      <x:c r="O28" s="24" t="str">
        <x:v>脱敏号码、模板、供应商追踪码；不记明文验证码</x:v>
      </x:c>
      <x:c r="P28" s="24" t="str">
        <x:v>等待或倒计时结束重发</x:v>
      </x:c>
      <x:c r="Q28" s="24" t="str">
        <x:v>待补 SMS-004</x:v>
      </x:c>
      <x:c r="R28" s="24" t="str"/>
    </x:row>
    <x:row r="29" ht="68" customHeight="1">
      <x:c r="A29" s="25" t="str">
        <x:v>SMS-005</x:v>
      </x:c>
      <x:c r="B29" s="25" t="str">
        <x:v>注册与短信</x:v>
      </x:c>
      <x:c r="C29" s="25" t="str">
        <x:v>待实操</x:v>
      </x:c>
      <x:c r="D29" s="25" t="str">
        <x:v>P0</x:v>
      </x:c>
      <x:c r="E29" s="24" t="str">
        <x:v>待注册用户</x:v>
      </x:c>
      <x:c r="F29" s="24" t="str">
        <x:v>官网、注册页与客户端当前版本</x:v>
      </x:c>
      <x:c r="G29" s="24" t="str">
        <x:v>同一设备/IP/号码</x:v>
      </x:c>
      <x:c r="H29" s="24" t="str">
        <x:v>任一入口倒计时未结束</x:v>
      </x:c>
      <x:c r="I29" s="24" t="str">
        <x:v>同区块连击 10 次；跨入口并发 2/5</x:v>
      </x:c>
      <x:c r="J29" s="24" t="str">
        <x:v>所有入口共享倒计时并禁用</x:v>
      </x:c>
      <x:c r="K29" s="24" t="str">
        <x:v>请在 {n} 秒后重试。</x:v>
      </x:c>
      <x:c r="L29" s="24" t="str">
        <x:v>Toast + 按钮倒计时</x:v>
      </x:c>
      <x:c r="M29" s="24" t="str">
        <x:v>待实操；期望重复操作不重复计费、不重复发送</x:v>
      </x:c>
      <x:c r="N29" s="24" t="str">
        <x:v>剩余倒计时</x:v>
      </x:c>
      <x:c r="O29" s="24" t="str">
        <x:v>拦截次数、入口、设备/IP 哈希</x:v>
      </x:c>
      <x:c r="P29" s="24" t="str">
        <x:v>倒计时结束恢复</x:v>
      </x:c>
      <x:c r="Q29" s="24" t="str">
        <x:v>待补 SMS-005</x:v>
      </x:c>
      <x:c r="R29" s="24" t="str"/>
    </x:row>
    <x:row r="30" ht="68" customHeight="1">
      <x:c r="A30" s="25" t="str">
        <x:v>SMS-006</x:v>
      </x:c>
      <x:c r="B30" s="25" t="str">
        <x:v>注册与短信</x:v>
      </x:c>
      <x:c r="C30" s="25" t="str">
        <x:v>待实操</x:v>
      </x:c>
      <x:c r="D30" s="25" t="str">
        <x:v>P0</x:v>
      </x:c>
      <x:c r="E30" s="24" t="str">
        <x:v>待注册用户/异常请求方</x:v>
      </x:c>
      <x:c r="F30" s="24" t="str">
        <x:v>官网与客户端当前版本</x:v>
      </x:c>
      <x:c r="G30" s="24" t="str">
        <x:v>同/不同设备、IP 和号码</x:v>
      </x:c>
      <x:c r="H30" s="24" t="str">
        <x:v>达到滑动窗口阈值</x:v>
      </x:c>
      <x:c r="I30" s="24" t="str">
        <x:v>同号 5次/10分钟、10次/日；同IP 20号并发</x:v>
      </x:c>
      <x:c r="J30" s="24" t="str">
        <x:v>达阈值禁用并触发人机验证</x:v>
      </x:c>
      <x:c r="K30" s="24" t="str">
        <x:v>获取次数过多，请于 HH:mm 后重试。
请先完成安全验证。</x:v>
      </x:c>
      <x:c r="L30" s="24" t="str">
        <x:v>风控弹窗/验证码</x:v>
      </x:c>
      <x:c r="M30" s="24" t="str">
        <x:v>待实操；期望手机号码、设备、IP 和风险分联合限流</x:v>
      </x:c>
      <x:c r="N30" s="24" t="str">
        <x:v>建议 10分钟；严重风险 24小时</x:v>
      </x:c>
      <x:c r="O30" s="24" t="str">
        <x:v>规则 ID、命中维度、人工解封；不泄露阈值细节</x:v>
      </x:c>
      <x:c r="P30" s="24" t="str">
        <x:v>到期、完成人机验证或申诉</x:v>
      </x:c>
      <x:c r="Q30" s="24" t="str">
        <x:v>待补 SMS-006</x:v>
      </x:c>
      <x:c r="R30" s="24" t="str"/>
    </x:row>
    <x:row r="31" ht="68" customHeight="1">
      <x:c r="A31" s="25" t="str">
        <x:v>SMS-007</x:v>
      </x:c>
      <x:c r="B31" s="25" t="str">
        <x:v>注册与短信</x:v>
      </x:c>
      <x:c r="C31" s="25" t="str">
        <x:v>待实操</x:v>
      </x:c>
      <x:c r="D31" s="25" t="str">
        <x:v>P0</x:v>
      </x:c>
      <x:c r="E31" s="24" t="str">
        <x:v>待注册用户</x:v>
      </x:c>
      <x:c r="F31" s="24" t="str">
        <x:v>官网与客户端当前版本</x:v>
      </x:c>
      <x:c r="G31" s="24" t="str">
        <x:v>同一设备/IP</x:v>
      </x:c>
      <x:c r="H31" s="24" t="str">
        <x:v>已收到验证码</x:v>
      </x:c>
      <x:c r="I31" s="24" t="str">
        <x:v>错码 1/5/10 次、过期码 1 次</x:v>
      </x:c>
      <x:c r="J31" s="24" t="str">
        <x:v>错误后恢复；达阈值临时禁用</x:v>
      </x:c>
      <x:c r="K31" s="24" t="str">
        <x:v>短信验证码错误或已失效。
错误次数过多，请重新获取验证码。</x:v>
      </x:c>
      <x:c r="L31" s="24" t="str">
        <x:v>字段提示/Toast</x:v>
      </x:c>
      <x:c r="M31" s="24" t="str">
        <x:v>待实操；期望连续 5 次错误使当前验证码失效，不允许无限试码</x:v>
      </x:c>
      <x:c r="N31" s="24" t="str">
        <x:v>达阈值后 10分钟或重新取码</x:v>
      </x:c>
      <x:c r="O31" s="24" t="str">
        <x:v>验证结果和失败次数，不记明文码</x:v>
      </x:c>
      <x:c r="P31" s="24" t="str">
        <x:v>重新取码</x:v>
      </x:c>
      <x:c r="Q31" s="24" t="str">
        <x:v>待补 SMS-007</x:v>
      </x:c>
      <x:c r="R31" s="24" t="str"/>
    </x:row>
    <x:row r="32" ht="68" customHeight="1">
      <x:c r="A32" s="25" t="str">
        <x:v>SMS-008</x:v>
      </x:c>
      <x:c r="B32" s="25" t="str">
        <x:v>注册与短信</x:v>
      </x:c>
      <x:c r="C32" s="25" t="str">
        <x:v>待实操</x:v>
      </x:c>
      <x:c r="D32" s="25" t="str">
        <x:v>P0</x:v>
      </x:c>
      <x:c r="E32" s="24" t="str">
        <x:v>待注册用户</x:v>
      </x:c>
      <x:c r="F32" s="24" t="str">
        <x:v>官网与客户端当前版本</x:v>
      </x:c>
      <x:c r="G32" s="24" t="str">
        <x:v>两设备/两标签、同一号码</x:v>
      </x:c>
      <x:c r="H32" s="24" t="str">
        <x:v>已发送旧验证码</x:v>
      </x:c>
      <x:c r="I32" s="24" t="str">
        <x:v>2 标签、2 设备依次重发</x:v>
      </x:c>
      <x:c r="J32" s="24" t="str">
        <x:v>新码发出后明确旧码失效</x:v>
      </x:c>
      <x:c r="K32" s="24" t="str">
        <x:v>验证码已更新，请使用最新短信中的验证码。</x:v>
      </x:c>
      <x:c r="L32" s="24" t="str">
        <x:v>Toast</x:v>
      </x:c>
      <x:c r="M32" s="24" t="str">
        <x:v>待实操；期望同一业务场景仅最新验证码有效</x:v>
      </x:c>
      <x:c r="N32" s="24" t="str">
        <x:v>60s</x:v>
      </x:c>
      <x:c r="O32" s="24" t="str">
        <x:v>验证码版本、请求设备、失效原因</x:v>
      </x:c>
      <x:c r="P32" s="24" t="str">
        <x:v>使用最新验证码</x:v>
      </x:c>
      <x:c r="Q32" s="24" t="str">
        <x:v>待补 SMS-008</x:v>
      </x:c>
      <x:c r="R32" s="24" t="str"/>
    </x:row>
    <x:row r="33" ht="68" customHeight="1">
      <x:c r="A33" s="25" t="str">
        <x:v>SMS-009</x:v>
      </x:c>
      <x:c r="B33" s="25" t="str">
        <x:v>注册与短信</x:v>
      </x:c>
      <x:c r="C33" s="25" t="str">
        <x:v>待实操</x:v>
      </x:c>
      <x:c r="D33" s="25" t="str">
        <x:v>P1</x:v>
      </x:c>
      <x:c r="E33" s="24" t="str">
        <x:v>待注册用户</x:v>
      </x:c>
      <x:c r="F33" s="24" t="str">
        <x:v>官网与客户端当前版本</x:v>
      </x:c>
      <x:c r="G33" s="24" t="str">
        <x:v>正常网/弱网；记录 IP</x:v>
      </x:c>
      <x:c r="H33" s="24" t="str">
        <x:v>短信供应商失败或状态未知</x:v>
      </x:c>
      <x:c r="I33" s="24" t="str">
        <x:v>重试 3 次</x:v>
      </x:c>
      <x:c r="J33" s="24" t="str">
        <x:v>区分发送失败和已提交供应商</x:v>
      </x:c>
      <x:c r="K33" s="24" t="str">
        <x:v>确定失败：发送失败，请稍后重试。
状态未知：短信可能延迟，请勿重复获取。</x:v>
      </x:c>
      <x:c r="L33" s="24" t="str">
        <x:v>Toast</x:v>
      </x:c>
      <x:c r="M33" s="24" t="str">
        <x:v>待实操；期望确定失败不消耗配额，未知状态不重复轰炸</x:v>
      </x:c>
      <x:c r="N33" s="24" t="str">
        <x:v>确定失败 3s；未知 30s</x:v>
      </x:c>
      <x:c r="O33" s="24" t="str">
        <x:v>供应商响应、送达回执、追踪码</x:v>
      </x:c>
      <x:c r="P33" s="24" t="str">
        <x:v>切换供应商、语音码或客服</x:v>
      </x:c>
      <x:c r="Q33" s="24" t="str">
        <x:v>待补 SMS-009</x:v>
      </x:c>
      <x:c r="R33" s="24" t="str"/>
    </x:row>
    <x:row r="34" ht="68" customHeight="1">
      <x:c r="A34" s="25" t="str">
        <x:v>SMS-010</x:v>
      </x:c>
      <x:c r="B34" s="25" t="str">
        <x:v>注册与短信</x:v>
      </x:c>
      <x:c r="C34" s="25" t="str">
        <x:v>待实操</x:v>
      </x:c>
      <x:c r="D34" s="25" t="str">
        <x:v>P0</x:v>
      </x:c>
      <x:c r="E34" s="24" t="str">
        <x:v>待注册用户</x:v>
      </x:c>
      <x:c r="F34" s="24" t="str">
        <x:v>官网与客户端当前版本</x:v>
      </x:c>
      <x:c r="G34" s="24" t="str">
        <x:v>两标签/同一设备/IP</x:v>
      </x:c>
      <x:c r="H34" s="24" t="str">
        <x:v>验证码正确、协议已同意</x:v>
      </x:c>
      <x:c r="I34" s="24" t="str">
        <x:v>双击提交、2 标签并发</x:v>
      </x:c>
      <x:c r="J34" s="24" t="str">
        <x:v>首次后按钮显示正在注册并全端锁定</x:v>
      </x:c>
      <x:c r="K34" s="24" t="str">
        <x:v>正在注册，请勿重复提交。</x:v>
      </x:c>
      <x:c r="L34" s="24" t="str">
        <x:v>Toast</x:v>
      </x:c>
      <x:c r="M34" s="24" t="str">
        <x:v>待实操；期望幂等，只创建一个账号</x:v>
      </x:c>
      <x:c r="N34" s="24" t="str">
        <x:v>结果返回前锁定；超时后先查结果</x:v>
      </x:c>
      <x:c r="O34" s="24" t="str">
        <x:v>幂等键、账号 ID、请求来源</x:v>
      </x:c>
      <x:c r="P34" s="24" t="str">
        <x:v>查询原结果或重新登录</x:v>
      </x:c>
      <x:c r="Q34" s="24" t="str">
        <x:v>待补 SMS-010</x:v>
      </x:c>
      <x:c r="R34" s="24" t="str"/>
    </x:row>
    <x:row r="35" ht="68" customHeight="1">
      <x:c r="A35" s="25" t="str">
        <x:v>SMS-011</x:v>
      </x:c>
      <x:c r="B35" s="25" t="str">
        <x:v>注册与短信</x:v>
      </x:c>
      <x:c r="C35" s="25" t="str">
        <x:v>待实操</x:v>
      </x:c>
      <x:c r="D35" s="25" t="str">
        <x:v>P0</x:v>
      </x:c>
      <x:c r="E35" s="24" t="str">
        <x:v>已注册手机号码用户</x:v>
      </x:c>
      <x:c r="F35" s="24" t="str">
        <x:v>官网与客户端当前版本</x:v>
      </x:c>
      <x:c r="G35" s="24" t="str">
        <x:v>同一/不同设备与 IP</x:v>
      </x:c>
      <x:c r="H35" s="24" t="str">
        <x:v>手机号码已注册</x:v>
      </x:c>
      <x:c r="I35" s="24" t="str">
        <x:v>1/3/10 次</x:v>
      </x:c>
      <x:c r="J35" s="24" t="str">
        <x:v>停止注册并提供登录入口</x:v>
      </x:c>
      <x:c r="K35" s="24" t="str">
        <x:v>该手机号码已注册，请直接登录或更换手机号码。</x:v>
      </x:c>
      <x:c r="L35" s="24" t="str">
        <x:v>字段提示/弹窗</x:v>
      </x:c>
      <x:c r="M35" s="24" t="str">
        <x:v>待实操；期望不重复创建账号，并限制批量账号枚举</x:v>
      </x:c>
      <x:c r="N35" s="24" t="str">
        <x:v>无；高频触发风控</x:v>
      </x:c>
      <x:c r="O35" s="24" t="str">
        <x:v>重复注册事件、设备/IP 哈希</x:v>
      </x:c>
      <x:c r="P35" s="24" t="str">
        <x:v>转验证码登录或更换号码</x:v>
      </x:c>
      <x:c r="Q35" s="24" t="str">
        <x:v>待补 SMS-011</x:v>
      </x:c>
      <x:c r="R35" s="24" t="str"/>
    </x:row>
    <x:row r="36" ht="68" customHeight="1">
      <x:c r="A36" s="25" t="str">
        <x:v>SMS-012</x:v>
      </x:c>
      <x:c r="B36" s="25" t="str">
        <x:v>注册与短信</x:v>
      </x:c>
      <x:c r="C36" s="25" t="str">
        <x:v>待实操</x:v>
      </x:c>
      <x:c r="D36" s="25" t="str">
        <x:v>P0</x:v>
      </x:c>
      <x:c r="E36" s="24" t="str">
        <x:v>新注册用户</x:v>
      </x:c>
      <x:c r="F36" s="24" t="str">
        <x:v>官网与客户端当前版本</x:v>
      </x:c>
      <x:c r="G36" s="24" t="str">
        <x:v>同一设备/IP</x:v>
      </x:c>
      <x:c r="H36" s="24" t="str">
        <x:v>注册成功</x:v>
      </x:c>
      <x:c r="I36" s="24" t="str">
        <x:v>刷新、后退、再次提交各 3 次</x:v>
      </x:c>
      <x:c r="J36" s="24" t="str">
        <x:v>显示成功态和前往登录；注册按钮不再可用</x:v>
      </x:c>
      <x:c r="K36" s="24" t="str">
        <x:v>注册成功，请登录。</x:v>
      </x:c>
      <x:c r="L36" s="24" t="str">
        <x:v>成功页/弹窗</x:v>
      </x:c>
      <x:c r="M36" s="24" t="str">
        <x:v>待实操；期望注册码不复用为登录码；营销联系需独立同意</x:v>
      </x:c>
      <x:c r="N36" s="24" t="str">
        <x:v>登录取码重新执行 60s 规则</x:v>
      </x:c>
      <x:c r="O36" s="24" t="str">
        <x:v>注册、协议与营销同意版本；成功消息只发一次</x:v>
      </x:c>
      <x:c r="P36" s="24" t="str">
        <x:v>登录、撤回营销同意或申请注销</x:v>
      </x:c>
      <x:c r="Q36" s="24" t="str">
        <x:v>待补 SMS-012</x:v>
      </x:c>
      <x:c r="R36" s="24" t="str"/>
    </x:row>
    <x:row r="37" ht="68" customHeight="1">
      <x:c r="A37" s="25" t="str">
        <x:v>AUTH-001</x:v>
      </x:c>
      <x:c r="B37" s="25" t="str">
        <x:v>登录与账号</x:v>
      </x:c>
      <x:c r="C37" s="25" t="str">
        <x:v>待实操</x:v>
      </x:c>
      <x:c r="D37" s="25" t="str">
        <x:v>P1</x:v>
      </x:c>
      <x:c r="E37" s="24" t="str">
        <x:v>主账号/成员</x:v>
      </x:c>
      <x:c r="F37" s="24" t="str">
        <x:v>Windows/macOS 当前客户端</x:v>
      </x:c>
      <x:c r="G37" s="24" t="str">
        <x:v>当前设备/IP</x:v>
      </x:c>
      <x:c r="H37" s="24" t="str">
        <x:v>登录页打开</x:v>
      </x:c>
      <x:c r="I37" s="24" t="str">
        <x:v>空账号、空密码、非法格式各 3 次</x:v>
      </x:c>
      <x:c r="J37" s="24" t="str">
        <x:v>必填项完整前禁用或提交后恢复</x:v>
      </x:c>
      <x:c r="K37" s="24" t="str">
        <x:v>请输入账号和密码。</x:v>
      </x:c>
      <x:c r="L37" s="24" t="str">
        <x:v>字段提示</x:v>
      </x:c>
      <x:c r="M37" s="24" t="str">
        <x:v>待实操；期望不发起无效认证</x:v>
      </x:c>
      <x:c r="N37" s="24" t="str">
        <x:v>无</x:v>
      </x:c>
      <x:c r="O37" s="24" t="str">
        <x:v>字段级校验，不记录密码</x:v>
      </x:c>
      <x:c r="P37" s="24" t="str">
        <x:v>补全字段</x:v>
      </x:c>
      <x:c r="Q37" s="24" t="str">
        <x:v>待补 AUTH-001</x:v>
      </x:c>
      <x:c r="R37" s="24" t="str"/>
    </x:row>
    <x:row r="38" ht="68" customHeight="1">
      <x:c r="A38" s="25" t="str">
        <x:v>AUTH-002</x:v>
      </x:c>
      <x:c r="B38" s="25" t="str">
        <x:v>登录与账号</x:v>
      </x:c>
      <x:c r="C38" s="25" t="str">
        <x:v>待实操</x:v>
      </x:c>
      <x:c r="D38" s="25" t="str">
        <x:v>P0</x:v>
      </x:c>
      <x:c r="E38" s="24" t="str">
        <x:v>主账号/成员</x:v>
      </x:c>
      <x:c r="F38" s="24" t="str">
        <x:v>当前客户端</x:v>
      </x:c>
      <x:c r="G38" s="24" t="str">
        <x:v>同/不同设备/IP</x:v>
      </x:c>
      <x:c r="H38" s="24" t="str">
        <x:v>账号存在</x:v>
      </x:c>
      <x:c r="I38" s="24" t="str">
        <x:v>错误密码 1/4 次</x:v>
      </x:c>
      <x:c r="J38" s="24" t="str">
        <x:v>每次返回后恢复可点</x:v>
      </x:c>
      <x:c r="K38" s="24" t="str">
        <x:v>账号或密码错误。</x:v>
      </x:c>
      <x:c r="L38" s="24" t="str">
        <x:v>字段提示/Toast</x:v>
      </x:c>
      <x:c r="M38" s="24" t="str">
        <x:v>待实操；期望不暴露账号是否存在，失败不改变业务数据</x:v>
      </x:c>
      <x:c r="N38" s="24" t="str">
        <x:v>失败间隔 1s</x:v>
      </x:c>
      <x:c r="O38" s="24" t="str">
        <x:v>登录失败、设备/IP 哈希、风险分</x:v>
      </x:c>
      <x:c r="P38" s="24" t="str">
        <x:v>重新输入或找回密码</x:v>
      </x:c>
      <x:c r="Q38" s="24" t="str">
        <x:v>待补 AUTH-002</x:v>
      </x:c>
      <x:c r="R38" s="24" t="str"/>
    </x:row>
    <x:row r="39" ht="68" customHeight="1">
      <x:c r="A39" s="25" t="str">
        <x:v>AUTH-003</x:v>
      </x:c>
      <x:c r="B39" s="25" t="str">
        <x:v>登录与账号</x:v>
      </x:c>
      <x:c r="C39" s="25" t="str">
        <x:v>待实操</x:v>
      </x:c>
      <x:c r="D39" s="25" t="str">
        <x:v>P0</x:v>
      </x:c>
      <x:c r="E39" s="24" t="str">
        <x:v>主账号/成员</x:v>
      </x:c>
      <x:c r="F39" s="24" t="str">
        <x:v>当前客户端</x:v>
      </x:c>
      <x:c r="G39" s="24" t="str">
        <x:v>同/不同设备/IP</x:v>
      </x:c>
      <x:c r="H39" s="24" t="str">
        <x:v>连续认证失败</x:v>
      </x:c>
      <x:c r="I39" s="24" t="str">
        <x:v>5次/15分钟、10次/日</x:v>
      </x:c>
      <x:c r="J39" s="24" t="str">
        <x:v>达阈值后禁用并提供找回入口</x:v>
      </x:c>
      <x:c r="K39" s="24" t="str">
        <x:v>尝试次数过多，请于 HH:mm 后重试或重置密码。</x:v>
      </x:c>
      <x:c r="L39" s="24" t="str">
        <x:v>安全弹窗</x:v>
      </x:c>
      <x:c r="M39" s="24" t="str">
        <x:v>待实操；期望 5 次失败锁定 15 分钟，高风险触发强验证</x:v>
      </x:c>
      <x:c r="N39" s="24" t="str">
        <x:v>建议 15分钟；高风险 24小时</x:v>
      </x:c>
      <x:c r="O39" s="24" t="str">
        <x:v>安全日志和账号安全通知</x:v>
      </x:c>
      <x:c r="P39" s="24" t="str">
        <x:v>到期、重置密码或管理员解锁</x:v>
      </x:c>
      <x:c r="Q39" s="24" t="str">
        <x:v>待补 AUTH-003</x:v>
      </x:c>
      <x:c r="R39" s="24" t="str"/>
    </x:row>
    <x:row r="40" ht="68" customHeight="1">
      <x:c r="A40" s="25" t="str">
        <x:v>AUTH-004</x:v>
      </x:c>
      <x:c r="B40" s="25" t="str">
        <x:v>登录与账号</x:v>
      </x:c>
      <x:c r="C40" s="25" t="str">
        <x:v>待实操</x:v>
      </x:c>
      <x:c r="D40" s="25" t="str">
        <x:v>P1</x:v>
      </x:c>
      <x:c r="E40" s="24" t="str">
        <x:v>新成员</x:v>
      </x:c>
      <x:c r="F40" s="24" t="str">
        <x:v>当前客户端</x:v>
      </x:c>
      <x:c r="G40" s="24" t="str">
        <x:v>当前设备/IP</x:v>
      </x:c>
      <x:c r="H40" s="24" t="str">
        <x:v>管理员已创建成员</x:v>
      </x:c>
      <x:c r="I40" s="24" t="str">
        <x:v>密码激活、短信激活各 1 次</x:v>
      </x:c>
      <x:c r="J40" s="24" t="str">
        <x:v>激活中禁用重复提交</x:v>
      </x:c>
      <x:c r="K40" s="24" t="str">
        <x:v>激活信息无效或已失效，请联系管理员重新发送。</x:v>
      </x:c>
      <x:c r="L40" s="24" t="str">
        <x:v>阻断弹窗</x:v>
      </x:c>
      <x:c r="M40" s="24" t="str">
        <x:v>待实操；期望失败不产生半激活账号</x:v>
      </x:c>
      <x:c r="N40" s="24" t="str">
        <x:v>失败 3 次后 10分钟</x:v>
      </x:c>
      <x:c r="O40" s="24" t="str">
        <x:v>激活方式、成员 ID、团队 ID</x:v>
      </x:c>
      <x:c r="P40" s="24" t="str">
        <x:v>重试或管理员重置</x:v>
      </x:c>
      <x:c r="Q40" s="24" t="str">
        <x:v>待补 AUTH-004</x:v>
      </x:c>
      <x:c r="R40" s="24" t="str"/>
    </x:row>
    <x:row r="41" ht="68" customHeight="1">
      <x:c r="A41" s="25" t="str">
        <x:v>AUTH-005</x:v>
      </x:c>
      <x:c r="B41" s="25" t="str">
        <x:v>登录与账号</x:v>
      </x:c>
      <x:c r="C41" s="25" t="str">
        <x:v>待实操</x:v>
      </x:c>
      <x:c r="D41" s="25" t="str">
        <x:v>P0</x:v>
      </x:c>
      <x:c r="E41" s="24" t="str">
        <x:v>多团队成员</x:v>
      </x:c>
      <x:c r="F41" s="24" t="str">
        <x:v>当前客户端</x:v>
      </x:c>
      <x:c r="G41" s="24" t="str">
        <x:v>当前设备/IP</x:v>
      </x:c>
      <x:c r="H41" s="24" t="str">
        <x:v>同一身份属于多个团队</x:v>
      </x:c>
      <x:c r="I41" s="24" t="str">
        <x:v>快速切换 5 次、双窗口并发</x:v>
      </x:c>
      <x:c r="J41" s="24" t="str">
        <x:v>未选择团队前进入禁用；切换中锁定</x:v>
      </x:c>
      <x:c r="K41" s="24" t="str">
        <x:v>请选择要进入的团队。</x:v>
      </x:c>
      <x:c r="L41" s="24" t="str">
        <x:v>团队选择弹窗</x:v>
      </x:c>
      <x:c r="M41" s="24" t="str">
        <x:v>待实操；期望一次会话只有一个当前租户，不串店铺/设备/账单</x:v>
      </x:c>
      <x:c r="N41" s="24" t="str">
        <x:v>切换完成前禁用</x:v>
      </x:c>
      <x:c r="O41" s="24" t="str">
        <x:v>团队选择、原/目标租户、会话 ID</x:v>
      </x:c>
      <x:c r="P41" s="24" t="str">
        <x:v>返回重新选择</x:v>
      </x:c>
      <x:c r="Q41" s="24" t="str">
        <x:v>待补 AUTH-005</x:v>
      </x:c>
      <x:c r="R41" s="24" t="str"/>
    </x:row>
    <x:row r="42" ht="68" customHeight="1">
      <x:c r="A42" s="25" t="str">
        <x:v>AUTH-006</x:v>
      </x:c>
      <x:c r="B42" s="25" t="str">
        <x:v>登录与账号</x:v>
      </x:c>
      <x:c r="C42" s="25" t="str">
        <x:v>待实操</x:v>
      </x:c>
      <x:c r="D42" s="25" t="str">
        <x:v>P0</x:v>
      </x:c>
      <x:c r="E42" s="24" t="str">
        <x:v>被暂停/删除成员</x:v>
      </x:c>
      <x:c r="F42" s="24" t="str">
        <x:v>当前客户端</x:v>
      </x:c>
      <x:c r="G42" s="24" t="str">
        <x:v>已登录/新设备/IP</x:v>
      </x:c>
      <x:c r="H42" s="24" t="str">
        <x:v>旧凭证或会话仍存在</x:v>
      </x:c>
      <x:c r="I42" s="24" t="str">
        <x:v>登录 3 次、旧会话请求 10 次</x:v>
      </x:c>
      <x:c r="J42" s="24" t="str">
        <x:v>登录结果明确阻断；旧会话失效</x:v>
      </x:c>
      <x:c r="K42" s="24" t="str">
        <x:v>账号已停用，请联系团队管理员。</x:v>
      </x:c>
      <x:c r="L42" s="24" t="str">
        <x:v>阻断弹窗</x:v>
      </x:c>
      <x:c r="M42" s="24" t="str">
        <x:v>待实操；期望不签发新会话并撤销旧 token</x:v>
      </x:c>
      <x:c r="N42" s="24" t="str">
        <x:v>无</x:v>
      </x:c>
      <x:c r="O42" s="24" t="str">
        <x:v>安全日志并通知管理员</x:v>
      </x:c>
      <x:c r="P42" s="24" t="str">
        <x:v>管理员恢复或重新创建</x:v>
      </x:c>
      <x:c r="Q42" s="24" t="str">
        <x:v>待补 AUTH-006</x:v>
      </x:c>
      <x:c r="R42" s="24" t="str"/>
    </x:row>
    <x:row r="43" ht="68" customHeight="1">
      <x:c r="A43" s="25" t="str">
        <x:v>AUTH-007</x:v>
      </x:c>
      <x:c r="B43" s="25" t="str">
        <x:v>登录与账号</x:v>
      </x:c>
      <x:c r="C43" s="25" t="str">
        <x:v>待实操</x:v>
      </x:c>
      <x:c r="D43" s="25" t="str">
        <x:v>P0</x:v>
      </x:c>
      <x:c r="E43" s="24" t="str">
        <x:v>受登录限制成员</x:v>
      </x:c>
      <x:c r="F43" s="24" t="str">
        <x:v>当前客户端</x:v>
      </x:c>
      <x:c r="G43" s="24" t="str">
        <x:v>新终端/异地 IP/受限时段</x:v>
      </x:c>
      <x:c r="H43" s="24" t="str">
        <x:v>命中团队策略</x:v>
      </x:c>
      <x:c r="I43" s="24" t="str">
        <x:v>每类 2 次；重复申请 5 次</x:v>
      </x:c>
      <x:c r="J43" s="24" t="str">
        <x:v>提供申请登录；审批中禁用重复申请</x:v>
      </x:c>
      <x:c r="K43" s="24" t="str">
        <x:v>当前登录不符合团队安全策略，请提交登录申请。</x:v>
      </x:c>
      <x:c r="L43" s="24" t="str">
        <x:v>策略阻断弹窗</x:v>
      </x:c>
      <x:c r="M43" s="24" t="str">
        <x:v>待实操；期望服务端阻断并生成唯一审批单</x:v>
      </x:c>
      <x:c r="N43" s="24" t="str">
        <x:v>同条件申请 5分钟</x:v>
      </x:c>
      <x:c r="O43" s="24" t="str">
        <x:v>策略 ID、终端、地区、审批链</x:v>
      </x:c>
      <x:c r="P43" s="24" t="str">
        <x:v>管理员审批或满足策略后重试</x:v>
      </x:c>
      <x:c r="Q43" s="24" t="str">
        <x:v>待补 AUTH-007</x:v>
      </x:c>
      <x:c r="R43" s="24" t="str"/>
    </x:row>
    <x:row r="44" ht="68" customHeight="1">
      <x:c r="A44" s="25" t="str">
        <x:v>AUTH-008</x:v>
      </x:c>
      <x:c r="B44" s="25" t="str">
        <x:v>登录与账号</x:v>
      </x:c>
      <x:c r="C44" s="25" t="str">
        <x:v>待实操</x:v>
      </x:c>
      <x:c r="D44" s="25" t="str">
        <x:v>P0</x:v>
      </x:c>
      <x:c r="E44" s="24" t="str">
        <x:v>忘记密码用户</x:v>
      </x:c>
      <x:c r="F44" s="24" t="str">
        <x:v>当前客户端</x:v>
      </x:c>
      <x:c r="G44" s="24" t="str">
        <x:v>当前设备/IP</x:v>
      </x:c>
      <x:c r="H44" s="24" t="str">
        <x:v>绑定手机可用</x:v>
      </x:c>
      <x:c r="I44" s="24" t="str">
        <x:v>找回 1/3 次，错码 5 次</x:v>
      </x:c>
      <x:c r="J44" s="24" t="str">
        <x:v>身份验证完成前重置禁用</x:v>
      </x:c>
      <x:c r="K44" s="24" t="str">
        <x:v>身份验证失败，请重新获取短信验证码。</x:v>
      </x:c>
      <x:c r="L44" s="24" t="str">
        <x:v>字段提示/弹窗</x:v>
      </x:c>
      <x:c r="M44" s="24" t="str">
        <x:v>待实操；期望重置后旧密码和相关会话失效</x:v>
      </x:c>
      <x:c r="N44" s="24" t="str">
        <x:v>短信 60s；失败 5 次锁 10分钟</x:v>
      </x:c>
      <x:c r="O44" s="24" t="str">
        <x:v>凭证重置安全日志和通知</x:v>
      </x:c>
      <x:c r="P44" s="24" t="str">
        <x:v>重取码或人工申诉</x:v>
      </x:c>
      <x:c r="Q44" s="24" t="str">
        <x:v>待补 AUTH-008</x:v>
      </x:c>
      <x:c r="R44" s="24" t="str"/>
    </x:row>
    <x:row r="45" ht="68" customHeight="1">
      <x:c r="A45" s="25" t="str">
        <x:v>AUTH-009</x:v>
      </x:c>
      <x:c r="B45" s="25" t="str">
        <x:v>登录与账号</x:v>
      </x:c>
      <x:c r="C45" s="25" t="str">
        <x:v>待实操</x:v>
      </x:c>
      <x:c r="D45" s="25" t="str">
        <x:v>P0</x:v>
      </x:c>
      <x:c r="E45" s="24" t="str">
        <x:v>原手机不可用用户</x:v>
      </x:c>
      <x:c r="F45" s="24" t="str">
        <x:v>当前客户端</x:v>
      </x:c>
      <x:c r="G45" s="24" t="str">
        <x:v>当前设备/IP</x:v>
      </x:c>
      <x:c r="H45" s="24" t="str">
        <x:v>可提供账号所有权信息</x:v>
      </x:c>
      <x:c r="I45" s="24" t="str">
        <x:v>发起申诉 1 次、重复提交 3 次</x:v>
      </x:c>
      <x:c r="J45" s="24" t="str">
        <x:v>提供手机号码无法使用入口；提交中禁用</x:v>
      </x:c>
      <x:c r="K45" s="24" t="str">
        <x:v>原手机号码无法使用，请通过账号申诉完成身份核验。</x:v>
      </x:c>
      <x:c r="L45" s="24" t="str">
        <x:v>申诉弹窗</x:v>
      </x:c>
      <x:c r="M45" s="24" t="str">
        <x:v>待实操；期望不强制要求不可用旧号码取码</x:v>
      </x:c>
      <x:c r="N45" s="24" t="str">
        <x:v>申诉提交后 24小时内不重复</x:v>
      </x:c>
      <x:c r="O45" s="24" t="str">
        <x:v>申诉单、材料访问审计、换号通知</x:v>
      </x:c>
      <x:c r="P45" s="24" t="str">
        <x:v>申诉、管理员或客服核验</x:v>
      </x:c>
      <x:c r="Q45" s="24" t="str">
        <x:v>待补 AUTH-009</x:v>
      </x:c>
      <x:c r="R45" s="24" t="str"/>
    </x:row>
    <x:row r="46" ht="68" customHeight="1">
      <x:c r="A46" s="25" t="str">
        <x:v>AUTH-010</x:v>
      </x:c>
      <x:c r="B46" s="25" t="str">
        <x:v>登录与账号</x:v>
      </x:c>
      <x:c r="C46" s="25" t="str">
        <x:v>待实操</x:v>
      </x:c>
      <x:c r="D46" s="25" t="str">
        <x:v>P0</x:v>
      </x:c>
      <x:c r="E46" s="24" t="str">
        <x:v>已登录用户</x:v>
      </x:c>
      <x:c r="F46" s="24" t="str">
        <x:v>当前客户端</x:v>
      </x:c>
      <x:c r="G46" s="24" t="str">
        <x:v>多设备/不同 IP</x:v>
      </x:c>
      <x:c r="H46" s="24" t="str">
        <x:v>多端存在会话</x:v>
      </x:c>
      <x:c r="I46" s="24" t="str">
        <x:v>当前退出、全部退出、改密各 1 次</x:v>
      </x:c>
      <x:c r="J46" s="24" t="str">
        <x:v>操作中禁用；全部退出二次确认</x:v>
      </x:c>
      <x:c r="K46" s="24" t="str">
        <x:v>登录状态已失效，请重新登录。</x:v>
      </x:c>
      <x:c r="L46" s="24" t="str">
        <x:v>Toast/登录页</x:v>
      </x:c>
      <x:c r="M46" s="24" t="str">
        <x:v>待实操；期望改密和全部退出撤销相关 token，当前退出只结束本机</x:v>
      </x:c>
      <x:c r="N46" s="24" t="str">
        <x:v>无</x:v>
      </x:c>
      <x:c r="O46" s="24" t="str">
        <x:v>会话撤销、设备、原因；安全通知</x:v>
      </x:c>
      <x:c r="P46" s="24" t="str">
        <x:v>重新登录</x:v>
      </x:c>
      <x:c r="Q46" s="24" t="str">
        <x:v>待补 AUTH-010</x:v>
      </x:c>
      <x:c r="R46" s="24" t="str"/>
    </x:row>
    <x:row r="47" ht="68" customHeight="1">
      <x:c r="A47" s="25" t="str">
        <x:v>AUTH-011</x:v>
      </x:c>
      <x:c r="B47" s="25" t="str">
        <x:v>登录与账号</x:v>
      </x:c>
      <x:c r="C47" s="25" t="str">
        <x:v>待实操</x:v>
      </x:c>
      <x:c r="D47" s="25" t="str">
        <x:v>P1</x:v>
      </x:c>
      <x:c r="E47" s="24" t="str">
        <x:v>共用设备用户</x:v>
      </x:c>
      <x:c r="F47" s="24" t="str">
        <x:v>当前客户端</x:v>
      </x:c>
      <x:c r="G47" s="24" t="str">
        <x:v>共用 Windows/macOS 终端</x:v>
      </x:c>
      <x:c r="H47" s="24" t="str">
        <x:v>存在历史登录号码</x:v>
      </x:c>
      <x:c r="I47" s="24" t="str">
        <x:v>保存、删除、切换各 3 次</x:v>
      </x:c>
      <x:c r="J47" s="24" t="str">
        <x:v>默认不保存；可逐项清除</x:v>
      </x:c>
      <x:c r="K47" s="24" t="str">
        <x:v>已清除本机保存的登录号码。</x:v>
      </x:c>
      <x:c r="L47" s="24" t="str">
        <x:v>Toast</x:v>
      </x:c>
      <x:c r="M47" s="24" t="str">
        <x:v>待实操；期望只保存脱敏号码，不同步密码或验证码</x:v>
      </x:c>
      <x:c r="N47" s="24" t="str">
        <x:v>无</x:v>
      </x:c>
      <x:c r="O47" s="24" t="str">
        <x:v>本地设置变更；不上传完整号码</x:v>
      </x:c>
      <x:c r="P47" s="24" t="str">
        <x:v>重新输入号码</x:v>
      </x:c>
      <x:c r="Q47" s="24" t="str">
        <x:v>待补 AUTH-011</x:v>
      </x:c>
      <x:c r="R47" s="24" t="str"/>
    </x:row>
    <x:row r="48" ht="68" customHeight="1">
      <x:c r="A48" s="25" t="str">
        <x:v>AUTH-012</x:v>
      </x:c>
      <x:c r="B48" s="25" t="str">
        <x:v>登录与账号</x:v>
      </x:c>
      <x:c r="C48" s="25" t="str">
        <x:v>待实操</x:v>
      </x:c>
      <x:c r="D48" s="25" t="str">
        <x:v>P0</x:v>
      </x:c>
      <x:c r="E48" s="24" t="str">
        <x:v>登录用户</x:v>
      </x:c>
      <x:c r="F48" s="24" t="str">
        <x:v>当前客户端</x:v>
      </x:c>
      <x:c r="G48" s="24" t="str">
        <x:v>弱网/断网；记录 IP</x:v>
      </x:c>
      <x:c r="H48" s="24" t="str">
        <x:v>认证请求已提交</x:v>
      </x:c>
      <x:c r="I48" s="24" t="str">
        <x:v>双击登录、断网恢复、重试各 3 次</x:v>
      </x:c>
      <x:c r="J48" s="24" t="str">
        <x:v>请求中 Loading；超时后先查会话再恢复</x:v>
      </x:c>
      <x:c r="K48" s="24" t="str">
        <x:v>网络异常，登录结果未知，请勿重复操作。</x:v>
      </x:c>
      <x:c r="L48" s="24" t="str">
        <x:v>状态弹窗</x:v>
      </x:c>
      <x:c r="M48" s="24" t="str">
        <x:v>待实操；期望不重复创建会话，不无限加载</x:v>
      </x:c>
      <x:c r="N48" s="24" t="str">
        <x:v>重试 1/3/10s</x:v>
      </x:c>
      <x:c r="O48" s="24" t="str">
        <x:v>认证追踪码、状态码、最终会话数</x:v>
      </x:c>
      <x:c r="P48" s="24" t="str">
        <x:v>自动查询或手动重试</x:v>
      </x:c>
      <x:c r="Q48" s="24" t="str">
        <x:v>待补 AUTH-012</x:v>
      </x:c>
      <x:c r="R48" s="24" t="str"/>
    </x:row>
    <x:row r="49" ht="68" customHeight="1">
      <x:c r="A49" s="25" t="str">
        <x:v>APP-001</x:v>
      </x:c>
      <x:c r="B49" s="25" t="str">
        <x:v>应用框架</x:v>
      </x:c>
      <x:c r="C49" s="25" t="str">
        <x:v>待实操</x:v>
      </x:c>
      <x:c r="D49" s="25" t="str">
        <x:v>P1</x:v>
      </x:c>
      <x:c r="E49" s="24" t="str">
        <x:v>登录用户</x:v>
      </x:c>
      <x:c r="F49" s="24" t="str">
        <x:v>当前客户端</x:v>
      </x:c>
      <x:c r="G49" s="24" t="str">
        <x:v>当前设备/IP</x:v>
      </x:c>
      <x:c r="H49" s="24" t="str">
        <x:v>会话有效</x:v>
      </x:c>
      <x:c r="I49" s="24" t="str">
        <x:v>冷启动、刷新各 5 次</x:v>
      </x:c>
      <x:c r="J49" s="24" t="str">
        <x:v>稳定骨架屏，导航不跳动</x:v>
      </x:c>
      <x:c r="K49" s="24" t="str">
        <x:v>加载失败，请重试。</x:v>
      </x:c>
      <x:c r="L49" s="24" t="str">
        <x:v>整页错误态</x:v>
      </x:c>
      <x:c r="M49" s="24" t="str">
        <x:v>待实操；期望关键上下文失败时不进入错误团队</x:v>
      </x:c>
      <x:c r="N49" s="24" t="str">
        <x:v>请求超时 10s</x:v>
      </x:c>
      <x:c r="O49" s="24" t="str">
        <x:v>启动阶段、版本、接口耗时、追踪码</x:v>
      </x:c>
      <x:c r="P49" s="24" t="str">
        <x:v>局部或整页重试</x:v>
      </x:c>
      <x:c r="Q49" s="24" t="str">
        <x:v>待补 APP-001</x:v>
      </x:c>
      <x:c r="R49" s="24" t="str"/>
    </x:row>
    <x:row r="50" ht="68" customHeight="1">
      <x:c r="A50" s="25" t="str">
        <x:v>APP-002</x:v>
      </x:c>
      <x:c r="B50" s="25" t="str">
        <x:v>应用框架</x:v>
      </x:c>
      <x:c r="C50" s="25" t="str">
        <x:v>待实操</x:v>
      </x:c>
      <x:c r="D50" s="25" t="str">
        <x:v>P1</x:v>
      </x:c>
      <x:c r="E50" s="24" t="str">
        <x:v>登录用户</x:v>
      </x:c>
      <x:c r="F50" s="24" t="str">
        <x:v>当前客户端</x:v>
      </x:c>
      <x:c r="G50" s="24" t="str">
        <x:v>正常网/弱网</x:v>
      </x:c>
      <x:c r="H50" s="24" t="str">
        <x:v>首页单个接口失败</x:v>
      </x:c>
      <x:c r="I50" s="24" t="str">
        <x:v>单接口失败、3接口并发失败</x:v>
      </x:c>
      <x:c r="J50" s="24" t="str">
        <x:v>失败卡片局部重试，其余模块可用</x:v>
      </x:c>
      <x:c r="K50" s="24" t="str">
        <x:v>该模块加载失败，请重试。</x:v>
      </x:c>
      <x:c r="L50" s="24" t="str">
        <x:v>卡片错误态</x:v>
      </x:c>
      <x:c r="M50" s="24" t="str">
        <x:v>待实操；期望局部故障不拖垮整个应用</x:v>
      </x:c>
      <x:c r="N50" s="24" t="str">
        <x:v>1/3/10s</x:v>
      </x:c>
      <x:c r="O50" s="24" t="str">
        <x:v>组件、接口、错误码</x:v>
      </x:c>
      <x:c r="P50" s="24" t="str">
        <x:v>局部重试</x:v>
      </x:c>
      <x:c r="Q50" s="24" t="str">
        <x:v>待补 APP-002</x:v>
      </x:c>
      <x:c r="R50" s="24" t="str"/>
    </x:row>
    <x:row r="51" ht="68" customHeight="1">
      <x:c r="A51" s="25" t="str">
        <x:v>APP-003</x:v>
      </x:c>
      <x:c r="B51" s="25" t="str">
        <x:v>应用框架</x:v>
      </x:c>
      <x:c r="C51" s="25" t="str">
        <x:v>待实操</x:v>
      </x:c>
      <x:c r="D51" s="25" t="str">
        <x:v>P0</x:v>
      </x:c>
      <x:c r="E51" s="24" t="str">
        <x:v>不同角色成员</x:v>
      </x:c>
      <x:c r="F51" s="24" t="str">
        <x:v>当前客户端</x:v>
      </x:c>
      <x:c r="G51" s="24" t="str">
        <x:v>当前设备/IP</x:v>
      </x:c>
      <x:c r="H51" s="24" t="str">
        <x:v>角色权限不同</x:v>
      </x:c>
      <x:c r="I51" s="24" t="str">
        <x:v>登录后检查全导航；直达无权 URL 3 次</x:v>
      </x:c>
      <x:c r="J51" s="24" t="str">
        <x:v>无权入口隐藏/禁用；直达返回 403</x:v>
      </x:c>
      <x:c r="K51" s="24" t="str">
        <x:v>暂无访问权限，请联系团队管理员。</x:v>
      </x:c>
      <x:c r="L51" s="24" t="str">
        <x:v>403 页面</x:v>
      </x:c>
      <x:c r="M51" s="24" t="str">
        <x:v>待实操；期望前端可见性和服务端鉴权一致</x:v>
      </x:c>
      <x:c r="N51" s="24" t="str">
        <x:v>权限变更后 30s 内刷新</x:v>
      </x:c>
      <x:c r="O51" s="24" t="str">
        <x:v>权限快照、角色、菜单计算和拒绝原因</x:v>
      </x:c>
      <x:c r="P51" s="24" t="str">
        <x:v>管理员授权后重新加载</x:v>
      </x:c>
      <x:c r="Q51" s="24" t="str">
        <x:v>待补 APP-003</x:v>
      </x:c>
      <x:c r="R51" s="24" t="str"/>
    </x:row>
    <x:row r="52" ht="68" customHeight="1">
      <x:c r="A52" s="25" t="str">
        <x:v>APP-004</x:v>
      </x:c>
      <x:c r="B52" s="25" t="str">
        <x:v>应用框架</x:v>
      </x:c>
      <x:c r="C52" s="25" t="str">
        <x:v>待实操</x:v>
      </x:c>
      <x:c r="D52" s="25" t="str">
        <x:v>P0</x:v>
      </x:c>
      <x:c r="E52" s="24" t="str">
        <x:v>多团队成员</x:v>
      </x:c>
      <x:c r="F52" s="24" t="str">
        <x:v>当前客户端</x:v>
      </x:c>
      <x:c r="G52" s="24" t="str">
        <x:v>当前设备/IP</x:v>
      </x:c>
      <x:c r="H52" s="24" t="str">
        <x:v>当前页存在未保存内容</x:v>
      </x:c>
      <x:c r="I52" s="24" t="str">
        <x:v>切换团队 3 次</x:v>
      </x:c>
      <x:c r="J52" s="24" t="str">
        <x:v>显示保存/放弃/取消；切换中全局锁定</x:v>
      </x:c>
      <x:c r="K52" s="24" t="str">
        <x:v>存在未保存内容，是否继续切换团队？</x:v>
      </x:c>
      <x:c r="L52" s="24" t="str">
        <x:v>确认弹窗</x:v>
      </x:c>
      <x:c r="M52" s="24" t="str">
        <x:v>待实操；期望切换后缓存、余额、消息和对象全部属于新团队</x:v>
      </x:c>
      <x:c r="N52" s="24" t="str">
        <x:v>切换完成前禁用</x:v>
      </x:c>
      <x:c r="O52" s="24" t="str">
        <x:v>原/目标团队、未保存状态、结果</x:v>
      </x:c>
      <x:c r="P52" s="24" t="str">
        <x:v>取消或保存后切换</x:v>
      </x:c>
      <x:c r="Q52" s="24" t="str">
        <x:v>待补 APP-004</x:v>
      </x:c>
      <x:c r="R52" s="24" t="str"/>
    </x:row>
    <x:row r="53" ht="68" customHeight="1">
      <x:c r="A53" s="25" t="str">
        <x:v>APP-005</x:v>
      </x:c>
      <x:c r="B53" s="25" t="str">
        <x:v>应用框架</x:v>
      </x:c>
      <x:c r="C53" s="25" t="str">
        <x:v>待实操</x:v>
      </x:c>
      <x:c r="D53" s="25" t="str">
        <x:v>P1</x:v>
      </x:c>
      <x:c r="E53" s="24" t="str">
        <x:v>登录用户</x:v>
      </x:c>
      <x:c r="F53" s="24" t="str">
        <x:v>当前客户端</x:v>
      </x:c>
      <x:c r="G53" s="24" t="str">
        <x:v>当前设备/IP</x:v>
      </x:c>
      <x:c r="H53" s="24" t="str">
        <x:v>快速点击多个导航</x:v>
      </x:c>
      <x:c r="I53" s="24" t="str">
        <x:v>连击 20 次、多标签 5 个</x:v>
      </x:c>
      <x:c r="J53" s="24" t="str">
        <x:v>当前请求可取消；重复目标合并</x:v>
      </x:c>
      <x:c r="K53" s="24" t="str">
        <x:v>页面正在加载，请稍候。</x:v>
      </x:c>
      <x:c r="L53" s="24" t="str">
        <x:v>顶部加载状态</x:v>
      </x:c>
      <x:c r="M53" s="24" t="str">
        <x:v>待实操；期望最终路由与最后一次有效操作一致，不串页</x:v>
      </x:c>
      <x:c r="N53" s="24" t="str">
        <x:v>300ms</x:v>
      </x:c>
      <x:c r="O53" s="24" t="str">
        <x:v>路由序列、取消请求、页签 ID</x:v>
      </x:c>
      <x:c r="P53" s="24" t="str">
        <x:v>返回、刷新或重新导航</x:v>
      </x:c>
      <x:c r="Q53" s="24" t="str">
        <x:v>待补 APP-005</x:v>
      </x:c>
      <x:c r="R53" s="24" t="str"/>
    </x:row>
    <x:row r="54" ht="68" customHeight="1">
      <x:c r="A54" s="25" t="str">
        <x:v>APP-006</x:v>
      </x:c>
      <x:c r="B54" s="25" t="str">
        <x:v>应用框架</x:v>
      </x:c>
      <x:c r="C54" s="25" t="str">
        <x:v>待实操</x:v>
      </x:c>
      <x:c r="D54" s="25" t="str">
        <x:v>P0</x:v>
      </x:c>
      <x:c r="E54" s="24" t="str">
        <x:v>登录用户</x:v>
      </x:c>
      <x:c r="F54" s="24" t="str">
        <x:v>当前客户端</x:v>
      </x:c>
      <x:c r="G54" s="24" t="str">
        <x:v>多标签/同设备</x:v>
      </x:c>
      <x:c r="H54" s="24" t="str">
        <x:v>token 过期或被撤销</x:v>
      </x:c>
      <x:c r="I54" s="24" t="str">
        <x:v>前后台并发请求 10 个</x:v>
      </x:c>
      <x:c r="J54" s="24" t="str">
        <x:v>首次 401 后停止新增请求，只弹一次登录提示</x:v>
      </x:c>
      <x:c r="K54" s="24" t="str">
        <x:v>登录状态已失效，请重新登录。</x:v>
      </x:c>
      <x:c r="L54" s="24" t="str">
        <x:v>登录失效弹窗</x:v>
      </x:c>
      <x:c r="M54" s="24" t="str">
        <x:v>待实操；期望清理敏感缓存并回登录页，不出现弹窗风暴</x:v>
      </x:c>
      <x:c r="N54" s="24" t="str">
        <x:v>同批请求只处理 1 次</x:v>
      </x:c>
      <x:c r="O54" s="24" t="str">
        <x:v>会话失效原因、撤销时间、版本</x:v>
      </x:c>
      <x:c r="P54" s="24" t="str">
        <x:v>重新登录并按规则恢复原路由</x:v>
      </x:c>
      <x:c r="Q54" s="24" t="str">
        <x:v>待补 APP-006</x:v>
      </x:c>
      <x:c r="R54" s="24" t="str"/>
    </x:row>
    <x:row r="55" ht="68" customHeight="1">
      <x:c r="A55" s="25" t="str">
        <x:v>APP-007</x:v>
      </x:c>
      <x:c r="B55" s="25" t="str">
        <x:v>应用框架</x:v>
      </x:c>
      <x:c r="C55" s="25" t="str">
        <x:v>待实操</x:v>
      </x:c>
      <x:c r="D55" s="25" t="str">
        <x:v>P1</x:v>
      </x:c>
      <x:c r="E55" s="24" t="str">
        <x:v>登录用户</x:v>
      </x:c>
      <x:c r="F55" s="24" t="str">
        <x:v>当前客户端</x:v>
      </x:c>
      <x:c r="G55" s="24" t="str">
        <x:v>当前设备/IP</x:v>
      </x:c>
      <x:c r="H55" s="24" t="str">
        <x:v>多种引导和活动同时满足</x:v>
      </x:c>
      <x:c r="I55" s="24" t="str">
        <x:v>新手引导、更新提示、活动弹窗同时触发；刷新 5 次</x:v>
      </x:c>
      <x:c r="J55" s="24" t="str">
        <x:v>单一弹窗队列；关闭可用；背景失焦</x:v>
      </x:c>
      <x:c r="K55" s="24" t="str">
        <x:v>请先完成或关闭当前提示。</x:v>
      </x:c>
      <x:c r="L55" s="24" t="str">
        <x:v>弹窗</x:v>
      </x:c>
      <x:c r="M55" s="24" t="str">
        <x:v>待实操；期望不重叠遮挡，跳过状态可持久化</x:v>
      </x:c>
      <x:c r="N55" s="24" t="str">
        <x:v>同类每会话 1 次</x:v>
      </x:c>
      <x:c r="O55" s="24" t="str">
        <x:v>弹窗优先级、展示/跳过版本</x:v>
      </x:c>
      <x:c r="P55" s="24" t="str">
        <x:v>关闭、跳过或稍后查看</x:v>
      </x:c>
      <x:c r="Q55" s="24" t="str">
        <x:v>待补 APP-007</x:v>
      </x:c>
      <x:c r="R55" s="24" t="str"/>
    </x:row>
    <x:row r="56" ht="68" customHeight="1">
      <x:c r="A56" s="25" t="str">
        <x:v>APP-008</x:v>
      </x:c>
      <x:c r="B56" s="25" t="str">
        <x:v>应用框架</x:v>
      </x:c>
      <x:c r="C56" s="25" t="str">
        <x:v>待实操</x:v>
      </x:c>
      <x:c r="D56" s="25" t="str">
        <x:v>P0</x:v>
      </x:c>
      <x:c r="E56" s="24" t="str">
        <x:v>登录用户</x:v>
      </x:c>
      <x:c r="F56" s="24" t="str">
        <x:v>当前客户端</x:v>
      </x:c>
      <x:c r="G56" s="24" t="str">
        <x:v>当前设备/IP</x:v>
      </x:c>
      <x:c r="H56" s="24" t="str">
        <x:v>发起反馈/诊断</x:v>
      </x:c>
      <x:c r="I56" s="24" t="str">
        <x:v>正常、超大日志、上传失败各 1 次</x:v>
      </x:c>
      <x:c r="J56" s="24" t="str">
        <x:v>提交前展示采集范围；上传中可取消</x:v>
      </x:c>
      <x:c r="K56" s="24" t="str">
        <x:v>日志上传失败，草稿已保留。
附件可能包含敏感信息，请确认脱敏后提交。</x:v>
      </x:c>
      <x:c r="L56" s="24" t="str">
        <x:v>风险确认 + Toast</x:v>
      </x:c>
      <x:c r="M56" s="24" t="str">
        <x:v>待实操；期望默认脱敏手机号、Cookie、凭证、路径和店铺数据</x:v>
      </x:c>
      <x:c r="N56" s="24" t="str">
        <x:v>失败重试 10s</x:v>
      </x:c>
      <x:c r="O56" s="24" t="str">
        <x:v>反馈编号、脱敏结果、文件大小、授权期限</x:v>
      </x:c>
      <x:c r="P56" s="24" t="str">
        <x:v>保留草稿、重传或手工导出</x:v>
      </x:c>
      <x:c r="Q56" s="24" t="str">
        <x:v>待补 APP-008</x:v>
      </x:c>
      <x:c r="R56" s="24" t="str"/>
    </x:row>
    <x:row r="57" ht="68" customHeight="1">
      <x:c r="A57" s="25" t="str">
        <x:v>APP-009</x:v>
      </x:c>
      <x:c r="B57" s="25" t="str">
        <x:v>应用框架</x:v>
      </x:c>
      <x:c r="C57" s="25" t="str">
        <x:v>待实操</x:v>
      </x:c>
      <x:c r="D57" s="25" t="str">
        <x:v>P1</x:v>
      </x:c>
      <x:c r="E57" s="24" t="str">
        <x:v>登录用户</x:v>
      </x:c>
      <x:c r="F57" s="24" t="str">
        <x:v>当前客户端</x:v>
      </x:c>
      <x:c r="G57" s="24" t="str">
        <x:v>当前设备/IP</x:v>
      </x:c>
      <x:c r="H57" s="24" t="str">
        <x:v>遇到 403/404/500/维护</x:v>
      </x:c>
      <x:c r="I57" s="24" t="str">
        <x:v>每类 3 次</x:v>
      </x:c>
      <x:c r="J57" s="24" t="str">
        <x:v>提供返回、重试、反馈；破坏性按钮禁用</x:v>
      </x:c>
      <x:c r="K57" s="24" t="str">
        <x:v>暂无访问权限。
页面不存在或已移动。
服务异常，请稍后重试。
系统维护中，预计于 YYYY-MM-DD HH:mm 恢复。</x:v>
      </x:c>
      <x:c r="L57" s="24" t="str">
        <x:v>错误页</x:v>
      </x:c>
      <x:c r="M57" s="24" t="str">
        <x:v>待实操；期望错误可区分，不展示空白页或原始堆栈</x:v>
      </x:c>
      <x:c r="N57" s="24" t="str">
        <x:v>500 错误 1/3/10s</x:v>
      </x:c>
      <x:c r="O57" s="24" t="str">
        <x:v>状态码、路由、团队、版本、追踪码</x:v>
      </x:c>
      <x:c r="P57" s="24" t="str">
        <x:v>返回安全页、重试或反馈</x:v>
      </x:c>
      <x:c r="Q57" s="24" t="str">
        <x:v>待补 APP-009</x:v>
      </x:c>
      <x:c r="R57" s="24" t="str"/>
    </x:row>
  </x:sheetData>
  <x:mergeCells>
    <x:mergeCell ref="A1:R1"/>
    <x:mergeCell ref="A2:R2"/>
  </x:mergeCells>
  <x:conditionalFormatting sqref="C5:C57">
    <x:cfRule type="containsText" dxfId="6" priority="1" operator="containsText" text="已实操"/>
    <x:cfRule type="containsText" dxfId="7" priority="2" operator="containsText" text="待实操"/>
    <x:cfRule type="containsText" dxfId="8" priority="3" operator="containsText" text="部分实操"/>
  </x:conditionalFormatting>
  <x:conditionalFormatting sqref="D5:D57">
    <x:cfRule type="containsText" dxfId="9" priority="4" operator="containsText" text="P0"/>
    <x:cfRule type="containsText" dxfId="10" priority="5" operator="containsText" text="P1"/>
    <x:cfRule type="containsText" dxfId="11" priority="6" operator="containsText" text="P2"/>
  </x:conditionalFormatting>
  <x:dataValidations count="2">
    <x:dataValidation type="list" sqref="C5:C57">
      <x:formula1>"待实操,部分实操,已实操,已实操，重点"</x:formula1>
    </x:dataValidation>
    <x:dataValidation type="list" sqref="D5:D57">
      <x:formula1>"P0,P1,P2"</x:formula1>
    </x:dataValidation>
  </x:dataValidations>
  <x:pageMargins left="0.7" right="0.7" top="0.75" bottom="0.75" header="0.3" footer="0.3"/>
  <x:tableParts count="1">
    <x:tablePart xmlns:r="http://schemas.openxmlformats.org/officeDocument/2006/relationships" r:id="Rfff4114a34fc4b0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店铺与设备异常场景</x:v>
      </x:c>
      <x:c r="B1" s="3"/>
      <x:c r="C1" s="3"/>
      <x:c r="D1" s="3"/>
      <x:c r="E1" s="3"/>
      <x:c r="F1" s="3"/>
      <x:c r="G1" s="3"/>
      <x:c r="H1" s="3"/>
      <x:c r="I1" s="3"/>
      <x:c r="J1" s="3"/>
      <x:c r="K1" s="3"/>
      <x:c r="L1" s="3"/>
      <x:c r="M1" s="3"/>
      <x:c r="N1" s="3"/>
      <x:c r="O1" s="3"/>
      <x:c r="P1" s="3"/>
      <x:c r="Q1" s="3"/>
      <x:c r="R1" s="3"/>
    </x:row>
    <x:row r="2" ht="34" customHeight="1">
      <x:c r="A2" s="7" t="str">
        <x:v>店铺环境、账号资产、平台设备、自有设备、续费和换 IP，共 30 条待实操场景。</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STORE-001</x:v>
      </x:c>
      <x:c r="B5" s="25" t="str">
        <x:v>店铺环境</x:v>
      </x:c>
      <x:c r="C5" s="25" t="str">
        <x:v>待实操</x:v>
      </x:c>
      <x:c r="D5" s="25" t="str">
        <x:v>P1</x:v>
      </x:c>
      <x:c r="E5" s="24" t="str">
        <x:v>店铺管理员</x:v>
      </x:c>
      <x:c r="F5" s="24" t="str">
        <x:v>当前客户端</x:v>
      </x:c>
      <x:c r="G5" s="24" t="str">
        <x:v>当前设备/IP</x:v>
      </x:c>
      <x:c r="H5" s="24" t="str">
        <x:v>进入新增店铺</x:v>
      </x:c>
      <x:c r="I5" s="24" t="str">
        <x:v>空提交、重复名称各 3 次</x:v>
      </x:c>
      <x:c r="J5" s="24" t="str">
        <x:v>必填未完成时禁用；校验中 Loading</x:v>
      </x:c>
      <x:c r="K5" s="24" t="str">
        <x:v>请填写平台、站点和店铺名称。
当前团队已存在同名店铺，请核对后再提交。</x:v>
      </x:c>
      <x:c r="L5" s="24" t="str">
        <x:v>字段提示</x:v>
      </x:c>
      <x:c r="M5" s="24" t="str">
        <x:v>待实操；期望无效数据不落库，重复对象可跳转查看</x:v>
      </x:c>
      <x:c r="N5" s="24" t="str">
        <x:v>500ms</x:v>
      </x:c>
      <x:c r="O5" s="24" t="str">
        <x:v>字段校验、重复对象 ID</x:v>
      </x:c>
      <x:c r="P5" s="24" t="str">
        <x:v>修改字段后重试</x:v>
      </x:c>
      <x:c r="Q5" s="24" t="str">
        <x:v>待补 STORE-001</x:v>
      </x:c>
      <x:c r="R5" s="24" t="str"/>
    </x:row>
    <x:row r="6" ht="68" customHeight="1">
      <x:c r="A6" s="25" t="str">
        <x:v>STORE-002</x:v>
      </x:c>
      <x:c r="B6" s="25" t="str">
        <x:v>店铺环境</x:v>
      </x:c>
      <x:c r="C6" s="25" t="str">
        <x:v>待实操</x:v>
      </x:c>
      <x:c r="D6" s="25" t="str">
        <x:v>P1</x:v>
      </x:c>
      <x:c r="E6" s="24" t="str">
        <x:v>店铺管理员</x:v>
      </x:c>
      <x:c r="F6" s="24" t="str">
        <x:v>当前客户端</x:v>
      </x:c>
      <x:c r="G6" s="24" t="str">
        <x:v>当前设备/IP</x:v>
      </x:c>
      <x:c r="H6" s="24" t="str">
        <x:v>已下载批量模板</x:v>
      </x:c>
      <x:c r="I6" s="24" t="str">
        <x:v>301行、混合错误、同文件重复上传</x:v>
      </x:c>
      <x:c r="J6" s="24" t="str">
        <x:v>校验完成前禁用确认；提供错误明细</x:v>
      </x:c>
      <x:c r="K6" s="24" t="str">
        <x:v>共读取 301 行，超过单次 300 行上限。另有 12 行校验失败，请下载错误明细后重新导入。</x:v>
      </x:c>
      <x:c r="L6" s="24" t="str">
        <x:v>导入结果弹窗</x:v>
      </x:c>
      <x:c r="M6" s="24" t="str">
        <x:v>待实操；期望预览阶段不创建对象，提交使用幂等批次号</x:v>
      </x:c>
      <x:c r="N6" s="24" t="str">
        <x:v>同文件 30s 去重</x:v>
      </x:c>
      <x:c r="O6" s="24" t="str">
        <x:v>导入批次、成功/失败行、错误原因</x:v>
      </x:c>
      <x:c r="P6" s="24" t="str">
        <x:v>修正错误行或拆分文件</x:v>
      </x:c>
      <x:c r="Q6" s="24" t="str">
        <x:v>待补 STORE-002</x:v>
      </x:c>
      <x:c r="R6" s="24" t="str"/>
    </x:row>
    <x:row r="7" ht="68" customHeight="1">
      <x:c r="A7" s="25" t="str">
        <x:v>STORE-003</x:v>
      </x:c>
      <x:c r="B7" s="25" t="str">
        <x:v>店铺环境</x:v>
      </x:c>
      <x:c r="C7" s="25" t="str">
        <x:v>待实操</x:v>
      </x:c>
      <x:c r="D7" s="25" t="str">
        <x:v>P1</x:v>
      </x:c>
      <x:c r="E7" s="24" t="str">
        <x:v>店铺管理员</x:v>
      </x:c>
      <x:c r="F7" s="24" t="str">
        <x:v>当前客户端</x:v>
      </x:c>
      <x:c r="G7" s="24" t="str">
        <x:v>当前设备/IP</x:v>
      </x:c>
      <x:c r="H7" s="24" t="str">
        <x:v>店铺资料合法但无设备</x:v>
      </x:c>
      <x:c r="I7" s="24" t="str">
        <x:v>保存 1 次、访问 3 次</x:v>
      </x:c>
      <x:c r="J7" s="24" t="str">
        <x:v>允许保存；访问按钮禁用并显示待绑定</x:v>
      </x:c>
      <x:c r="K7" s="24" t="str">
        <x:v>店铺已保存，但尚未绑定有效设备。绑定设备后才能访问店铺。</x:v>
      </x:c>
      <x:c r="L7" s="24" t="str">
        <x:v>页面状态</x:v>
      </x:c>
      <x:c r="M7" s="24" t="str">
        <x:v>待实操；期望进入待绑定状态，不伪装为可访问</x:v>
      </x:c>
      <x:c r="N7" s="24" t="str">
        <x:v>无</x:v>
      </x:c>
      <x:c r="O7" s="24" t="str">
        <x:v>创建、待绑定状态</x:v>
      </x:c>
      <x:c r="P7" s="24" t="str">
        <x:v>绑定有效设备后恢复</x:v>
      </x:c>
      <x:c r="Q7" s="24" t="str">
        <x:v>待补 STORE-003</x:v>
      </x:c>
      <x:c r="R7" s="24" t="str"/>
    </x:row>
    <x:row r="8" ht="68" customHeight="1">
      <x:c r="A8" s="25" t="str">
        <x:v>STORE-004</x:v>
      </x:c>
      <x:c r="B8" s="25" t="str">
        <x:v>店铺环境</x:v>
      </x:c>
      <x:c r="C8" s="25" t="str">
        <x:v>待实操</x:v>
      </x:c>
      <x:c r="D8" s="25" t="str">
        <x:v>P0</x:v>
      </x:c>
      <x:c r="E8" s="24" t="str">
        <x:v>店铺管理员</x:v>
      </x:c>
      <x:c r="F8" s="24" t="str">
        <x:v>当前客户端</x:v>
      </x:c>
      <x:c r="G8" s="24" t="str">
        <x:v>过期/检测失败/更换中的平台或自有设备</x:v>
      </x:c>
      <x:c r="H8" s="24" t="str">
        <x:v>选择不可用设备</x:v>
      </x:c>
      <x:c r="I8" s="24" t="str">
        <x:v>每种状态 3 次</x:v>
      </x:c>
      <x:c r="J8" s="24" t="str">
        <x:v>不可用设备不可选；确认绑定禁用</x:v>
      </x:c>
      <x:c r="K8" s="24" t="str">
        <x:v>所选设备当前不可用，请选择状态为“正常”的设备。</x:v>
      </x:c>
      <x:c r="L8" s="24" t="str">
        <x:v>行内提示/弹窗</x:v>
      </x:c>
      <x:c r="M8" s="24" t="str">
        <x:v>待实操；期望不建立无效绑定关系</x:v>
      </x:c>
      <x:c r="N8" s="24" t="str">
        <x:v>状态刷新 5s</x:v>
      </x:c>
      <x:c r="O8" s="24" t="str">
        <x:v>设备状态、绑定拒绝原因</x:v>
      </x:c>
      <x:c r="P8" s="24" t="str">
        <x:v>更换设备或等待恢复</x:v>
      </x:c>
      <x:c r="Q8" s="24" t="str">
        <x:v>待补 STORE-004</x:v>
      </x:c>
      <x:c r="R8" s="24" t="str"/>
    </x:row>
    <x:row r="9" ht="68" customHeight="1">
      <x:c r="A9" s="25" t="str">
        <x:v>STORE-005</x:v>
      </x:c>
      <x:c r="B9" s="25" t="str">
        <x:v>店铺环境</x:v>
      </x:c>
      <x:c r="C9" s="25" t="str">
        <x:v>待实操</x:v>
      </x:c>
      <x:c r="D9" s="25" t="str">
        <x:v>P0</x:v>
      </x:c>
      <x:c r="E9" s="24" t="str">
        <x:v>店铺管理员</x:v>
      </x:c>
      <x:c r="F9" s="24" t="str">
        <x:v>当前客户端</x:v>
      </x:c>
      <x:c r="G9" s="24" t="str">
        <x:v>有效平台设备/IP</x:v>
      </x:c>
      <x:c r="H9" s="24" t="str">
        <x:v>设备已绑定同平台其他店铺</x:v>
      </x:c>
      <x:c r="I9" s="24" t="str">
        <x:v>连续绑定 3 家店铺</x:v>
      </x:c>
      <x:c r="J9" s="24" t="str">
        <x:v>高风险确认前禁用继续</x:v>
      </x:c>
      <x:c r="K9" s="24" t="str">
        <x:v>该设备已绑定同平台店铺。继续绑定可能增加账号关联风险，请输入当前店铺名称确认。</x:v>
      </x:c>
      <x:c r="L9" s="24" t="str">
        <x:v>高风险确认弹窗</x:v>
      </x:c>
      <x:c r="M9" s="24" t="str">
        <x:v>待实操；期望明确确认后建立关系，不宣称必然关联</x:v>
      </x:c>
      <x:c r="N9" s="24" t="str">
        <x:v>确认后 5s</x:v>
      </x:c>
      <x:c r="O9" s="24" t="str">
        <x:v>高风险绑定审计、受影响店铺；通知负责人</x:v>
      </x:c>
      <x:c r="P9" s="24" t="str">
        <x:v>取消或改绑独立设备</x:v>
      </x:c>
      <x:c r="Q9" s="24" t="str">
        <x:v>待补 STORE-005</x:v>
      </x:c>
      <x:c r="R9" s="24" t="str"/>
    </x:row>
    <x:row r="10" ht="68" customHeight="1">
      <x:c r="A10" s="25" t="str">
        <x:v>STORE-006</x:v>
      </x:c>
      <x:c r="B10" s="25" t="str">
        <x:v>店铺环境</x:v>
      </x:c>
      <x:c r="C10" s="25" t="str">
        <x:v>待实操</x:v>
      </x:c>
      <x:c r="D10" s="25" t="str">
        <x:v>P1</x:v>
      </x:c>
      <x:c r="E10" s="24" t="str">
        <x:v>获授权成员</x:v>
      </x:c>
      <x:c r="F10" s="24" t="str">
        <x:v>当前客户端</x:v>
      </x:c>
      <x:c r="G10" s="24" t="str">
        <x:v>有效设备/IP</x:v>
      </x:c>
      <x:c r="H10" s="24" t="str">
        <x:v>店铺、设备、权限均有效</x:v>
      </x:c>
      <x:c r="I10" s="24" t="str">
        <x:v>连击访问 10 次、2 终端并发</x:v>
      </x:c>
      <x:c r="J10" s="24" t="str">
        <x:v>首次后显示启动中，重复点击禁用</x:v>
      </x:c>
      <x:c r="K10" s="24" t="str">
        <x:v>店铺正在启动，请勿重复操作。超过 60 秒仍未打开，可取消并诊断。</x:v>
      </x:c>
      <x:c r="L10" s="24" t="str">
        <x:v>启动状态/Toast</x:v>
      </x:c>
      <x:c r="M10" s="24" t="str">
        <x:v>待实操；期望只创建一个启动实例</x:v>
      </x:c>
      <x:c r="N10" s="24" t="str">
        <x:v>启动完成前锁定</x:v>
      </x:c>
      <x:c r="O10" s="24" t="str">
        <x:v>启动 ID、终端、设备、耗时、失败码</x:v>
      </x:c>
      <x:c r="P10" s="24" t="str">
        <x:v>取消、重试或诊断</x:v>
      </x:c>
      <x:c r="Q10" s="24" t="str">
        <x:v>待补 STORE-006</x:v>
      </x:c>
      <x:c r="R10" s="24" t="str"/>
    </x:row>
    <x:row r="11" ht="68" customHeight="1">
      <x:c r="A11" s="25" t="str">
        <x:v>STORE-007</x:v>
      </x:c>
      <x:c r="B11" s="25" t="str">
        <x:v>店铺环境</x:v>
      </x:c>
      <x:c r="C11" s="25" t="str">
        <x:v>待实操</x:v>
      </x:c>
      <x:c r="D11" s="25" t="str">
        <x:v>P1</x:v>
      </x:c>
      <x:c r="E11" s="24" t="str">
        <x:v>获授权成员</x:v>
      </x:c>
      <x:c r="F11" s="24" t="str">
        <x:v>当前客户端</x:v>
      </x:c>
      <x:c r="G11" s="24" t="str">
        <x:v>多个有效/异常设备 IP</x:v>
      </x:c>
      <x:c r="H11" s="24" t="str">
        <x:v>选择 10 个状态混合店铺</x:v>
      </x:c>
      <x:c r="I11" s="24" t="str">
        <x:v>批量打开 1 次；并发 10</x:v>
      </x:c>
      <x:c r="J11" s="24" t="str">
        <x:v>执行中禁用重复提交；显示逐项进度</x:v>
      </x:c>
      <x:c r="K11" s="24" t="str">
        <x:v>已成功启动 6 家；2 家设备不可用；1 家无权限；1 家并发已满。</x:v>
      </x:c>
      <x:c r="L11" s="24" t="str">
        <x:v>批量结果弹窗</x:v>
      </x:c>
      <x:c r="M11" s="24" t="str">
        <x:v>待实操；期望逐项执行汇总，单店失败不整体回滚</x:v>
      </x:c>
      <x:c r="N11" s="24" t="str">
        <x:v>同批次 30s 幂等</x:v>
      </x:c>
      <x:c r="O11" s="24" t="str">
        <x:v>批次 ID 及每店结果</x:v>
      </x:c>
      <x:c r="P11" s="24" t="str">
        <x:v>对失败项单独重试</x:v>
      </x:c>
      <x:c r="Q11" s="24" t="str">
        <x:v>待补 STORE-007</x:v>
      </x:c>
      <x:c r="R11" s="24" t="str"/>
    </x:row>
    <x:row r="12" ht="68" customHeight="1">
      <x:c r="A12" s="25" t="str">
        <x:v>STORE-008</x:v>
      </x:c>
      <x:c r="B12" s="25" t="str">
        <x:v>店铺环境</x:v>
      </x:c>
      <x:c r="C12" s="25" t="str">
        <x:v>待实操</x:v>
      </x:c>
      <x:c r="D12" s="25" t="str">
        <x:v>P0</x:v>
      </x:c>
      <x:c r="E12" s="24" t="str">
        <x:v>多成员</x:v>
      </x:c>
      <x:c r="F12" s="24" t="str">
        <x:v>当前客户端</x:v>
      </x:c>
      <x:c r="G12" s="24" t="str">
        <x:v>同店铺设备/IP</x:v>
      </x:c>
      <x:c r="H12" s="24" t="str">
        <x:v>店铺共用人数设为 1 或 N</x:v>
      </x:c>
      <x:c r="I12" s="24" t="str">
        <x:v>N+1 终端同时访问</x:v>
      </x:c>
      <x:c r="J12" s="24" t="str">
        <x:v>超额端进入排队或按钮禁用</x:v>
      </x:c>
      <x:c r="K12" s="24" t="str">
        <x:v>当前店铺已达到 {n} 人并发上限，请稍后重试或联系管理员调整。</x:v>
      </x:c>
      <x:c r="L12" s="24" t="str">
        <x:v>阻断弹窗</x:v>
      </x:c>
      <x:c r="M12" s="24" t="str">
        <x:v>待实操；期望服务端原子占用名额，不超卖且不无提示踢人</x:v>
      </x:c>
      <x:c r="N12" s="24" t="str">
        <x:v>失败后 10s</x:v>
      </x:c>
      <x:c r="O12" s="24" t="str">
        <x:v>会话占用、释放、超限；可通知管理员</x:v>
      </x:c>
      <x:c r="P12" s="24" t="str">
        <x:v>等待释放、扩容或结束异常会话</x:v>
      </x:c>
      <x:c r="Q12" s="24" t="str">
        <x:v>待补 STORE-008</x:v>
      </x:c>
      <x:c r="R12" s="24" t="str"/>
    </x:row>
    <x:row r="13" ht="68" customHeight="1">
      <x:c r="A13" s="25" t="str">
        <x:v>STORE-009</x:v>
      </x:c>
      <x:c r="B13" s="25" t="str">
        <x:v>店铺环境</x:v>
      </x:c>
      <x:c r="C13" s="25" t="str">
        <x:v>待实操</x:v>
      </x:c>
      <x:c r="D13" s="25" t="str">
        <x:v>P0</x:v>
      </x:c>
      <x:c r="E13" s="24" t="str">
        <x:v>环境管理员</x:v>
      </x:c>
      <x:c r="F13" s="24" t="str">
        <x:v>当前客户端</x:v>
      </x:c>
      <x:c r="G13" s="24" t="str">
        <x:v>店铺运行中的设备/IP</x:v>
      </x:c>
      <x:c r="H13" s="24" t="str">
        <x:v>店铺窗口正在运行</x:v>
      </x:c>
      <x:c r="I13" s="24" t="str">
        <x:v>修改内核、UA、系统标识各 2 次</x:v>
      </x:c>
      <x:c r="J13" s="24" t="str">
        <x:v>保存前展示影响确认</x:v>
      </x:c>
      <x:c r="K13" s="24" t="str">
        <x:v>修改内核或 User-Agent 将关闭当前店铺窗口，并可能影响登录态。是否保存并重新启动？</x:v>
      </x:c>
      <x:c r="L13" s="24" t="str">
        <x:v>高风险确认弹窗</x:v>
      </x:c>
      <x:c r="M13" s="24" t="str">
        <x:v>待实操；期望配置版本化，失败回滚旧环境</x:v>
      </x:c>
      <x:c r="N13" s="24" t="str">
        <x:v>保存后 60s 内禁止再次修改</x:v>
      </x:c>
      <x:c r="O13" s="24" t="str">
        <x:v>修改前后值、操作者、重启结果</x:v>
      </x:c>
      <x:c r="P13" s="24" t="str">
        <x:v>取消或回滚上一版本</x:v>
      </x:c>
      <x:c r="Q13" s="24" t="str">
        <x:v>待补 STORE-009</x:v>
      </x:c>
      <x:c r="R13" s="24" t="str"/>
    </x:row>
    <x:row r="14" ht="68" customHeight="1">
      <x:c r="A14" s="25" t="str">
        <x:v>STORE-010</x:v>
      </x:c>
      <x:c r="B14" s="25" t="str">
        <x:v>店铺环境</x:v>
      </x:c>
      <x:c r="C14" s="25" t="str">
        <x:v>待实操</x:v>
      </x:c>
      <x:c r="D14" s="25" t="str">
        <x:v>P0</x:v>
      </x:c>
      <x:c r="E14" s="24" t="str">
        <x:v>店铺管理员</x:v>
      </x:c>
      <x:c r="F14" s="24" t="str">
        <x:v>当前客户端</x:v>
      </x:c>
      <x:c r="G14" s="24" t="str">
        <x:v>店铺设备/IP</x:v>
      </x:c>
      <x:c r="H14" s="24" t="str">
        <x:v>存在本地/云端缓存和 Cookie</x:v>
      </x:c>
      <x:c r="I14" s="24" t="str">
        <x:v>三种清理范围各 1 次</x:v>
      </x:c>
      <x:c r="J14" s="24" t="str">
        <x:v>选择范围后启用确认；全量清理需输入店铺名</x:v>
      </x:c>
      <x:c r="K14" s="24" t="str">
        <x:v>将清除本地缓存、云端缓存及 Cookie，店铺可能退出登录。不会删除设备、托管凭证或成员授权。此操作不可撤销。</x:v>
      </x:c>
      <x:c r="L14" s="24" t="str">
        <x:v>高风险确认弹窗</x:v>
      </x:c>
      <x:c r="M14" s="24" t="str">
        <x:v>待实操；期望严格按所选范围清理，不发生范围外级联</x:v>
      </x:c>
      <x:c r="N14" s="24" t="str">
        <x:v>同店铺 10分钟</x:v>
      </x:c>
      <x:c r="O14" s="24" t="str">
        <x:v>清理范围、数据量、结果；通知负责人</x:v>
      </x:c>
      <x:c r="P14" s="24" t="str">
        <x:v>缓存可重建，Cookie 需重新登录/导入</x:v>
      </x:c>
      <x:c r="Q14" s="24" t="str">
        <x:v>待补 STORE-010</x:v>
      </x:c>
      <x:c r="R14" s="24" t="str"/>
    </x:row>
    <x:row r="15" ht="68" customHeight="1">
      <x:c r="A15" s="25" t="str">
        <x:v>STORE-011</x:v>
      </x:c>
      <x:c r="B15" s="25" t="str">
        <x:v>店铺环境</x:v>
      </x:c>
      <x:c r="C15" s="25" t="str">
        <x:v>待实操</x:v>
      </x:c>
      <x:c r="D15" s="25" t="str">
        <x:v>P0</x:v>
      </x:c>
      <x:c r="E15" s="24" t="str">
        <x:v>凭证管理员</x:v>
      </x:c>
      <x:c r="F15" s="24" t="str">
        <x:v>当前客户端</x:v>
      </x:c>
      <x:c r="G15" s="24" t="str">
        <x:v>店铺设备/IP</x:v>
      </x:c>
      <x:c r="H15" s="24" t="str">
        <x:v>准备导入 Cookie JSON</x:v>
      </x:c>
      <x:c r="I15" s="24" t="str">
        <x:v>格式错、过期、跨域、重复键各 2 次</x:v>
      </x:c>
      <x:c r="J15" s="24" t="str">
        <x:v>校验通过前确认禁用</x:v>
      </x:c>
      <x:c r="K15" s="24" t="str">
        <x:v>Cookie 属于登录凭证。检测到域名不匹配、已过期或重复键，共 {n} 项异常，未写入店铺环境。</x:v>
      </x:c>
      <x:c r="L15" s="24" t="str">
        <x:v>导入结果弹窗</x:v>
      </x:c>
      <x:c r="M15" s="24" t="str">
        <x:v>待实操；期望事务式导入，失败不覆盖原 Cookie</x:v>
      </x:c>
      <x:c r="N15" s="24" t="str">
        <x:v>失败后 3s</x:v>
      </x:c>
      <x:c r="O15" s="24" t="str">
        <x:v>只记域名、数量、哈希和结果，不记 Cookie 值</x:v>
      </x:c>
      <x:c r="P15" s="24" t="str">
        <x:v>修正文件；成功后可按快照回滚</x:v>
      </x:c>
      <x:c r="Q15" s="24" t="str">
        <x:v>待补 STORE-011</x:v>
      </x:c>
      <x:c r="R15" s="24" t="str"/>
    </x:row>
    <x:row r="16" ht="68" customHeight="1">
      <x:c r="A16" s="25" t="str">
        <x:v>STORE-012</x:v>
      </x:c>
      <x:c r="B16" s="25" t="str">
        <x:v>店铺环境</x:v>
      </x:c>
      <x:c r="C16" s="25" t="str">
        <x:v>待实操</x:v>
      </x:c>
      <x:c r="D16" s="25" t="str">
        <x:v>P0</x:v>
      </x:c>
      <x:c r="E16" s="24" t="str">
        <x:v>普通成员/凭证管理员</x:v>
      </x:c>
      <x:c r="F16" s="24" t="str">
        <x:v>当前客户端</x:v>
      </x:c>
      <x:c r="G16" s="24" t="str">
        <x:v>店铺设备/IP</x:v>
      </x:c>
      <x:c r="H16" s="24" t="str">
        <x:v>托管密码或 OTP 存在</x:v>
      </x:c>
      <x:c r="I16" s="24" t="str">
        <x:v>无权访问 3 次；错误 OTP 密钥 5 次</x:v>
      </x:c>
      <x:c r="J16" s="24" t="str">
        <x:v>无权入口隐藏；错误后恢复，达阈值锁定</x:v>
      </x:c>
      <x:c r="K16" s="24" t="str">
        <x:v>你没有查看或使用该凭证的权限。
动态验证码连续生成失败，请管理员检查密钥和设备时间。</x:v>
      </x:c>
      <x:c r="L16" s="24" t="str">
        <x:v>权限/错误弹窗</x:v>
      </x:c>
      <x:c r="M16" s="24" t="str">
        <x:v>待实操；期望明文不返回前端，授权和使用分别校验</x:v>
      </x:c>
      <x:c r="N16" s="24" t="str">
        <x:v>失败 5 次锁 10分钟</x:v>
      </x:c>
      <x:c r="O16" s="24" t="str">
        <x:v>凭证访问、代填、授权变更；异常通知管理员</x:v>
      </x:c>
      <x:c r="P16" s="24" t="str">
        <x:v>重新授权、校时或更换密钥</x:v>
      </x:c>
      <x:c r="Q16" s="24" t="str">
        <x:v>待补 STORE-012</x:v>
      </x:c>
      <x:c r="R16" s="24" t="str"/>
    </x:row>
    <x:row r="17" ht="68" customHeight="1">
      <x:c r="A17" s="25" t="str">
        <x:v>STORE-013</x:v>
      </x:c>
      <x:c r="B17" s="25" t="str">
        <x:v>店铺环境</x:v>
      </x:c>
      <x:c r="C17" s="25" t="str">
        <x:v>待实操</x:v>
      </x:c>
      <x:c r="D17" s="25" t="str">
        <x:v>P0</x:v>
      </x:c>
      <x:c r="E17" s="24" t="str">
        <x:v>凭证管理员</x:v>
      </x:c>
      <x:c r="F17" s="24" t="str">
        <x:v>当前客户端 2.1.0+</x:v>
      </x:c>
      <x:c r="G17" s="24" t="str">
        <x:v>店铺设备/IP</x:v>
      </x:c>
      <x:c r="H17" s="24" t="str">
        <x:v>店铺已绑定 Passkey</x:v>
      </x:c>
      <x:c r="I17" s="24" t="str">
        <x:v>解绑 1 次、重复提交 3 次</x:v>
      </x:c>
      <x:c r="J17" s="24" t="str">
        <x:v>二次确认；提交中禁用</x:v>
      </x:c>
      <x:c r="K17" s="24" t="str">
        <x:v>仅解除本店铺与 Passkey 的关联，不会删除第三方平台中的 Passkey，也不会删除密钥对象。确认解绑？</x:v>
      </x:c>
      <x:c r="L17" s="24" t="str">
        <x:v>高风险确认弹窗</x:v>
      </x:c>
      <x:c r="M17" s="24" t="str">
        <x:v>待实操；期望解除关系幂等，不误删外部凭证</x:v>
      </x:c>
      <x:c r="N17" s="24" t="str">
        <x:v>30s</x:v>
      </x:c>
      <x:c r="O17" s="24" t="str">
        <x:v>店铺、密钥 ID、操作者；通知负责人</x:v>
      </x:c>
      <x:c r="P17" s="24" t="str">
        <x:v>可重新绑定</x:v>
      </x:c>
      <x:c r="Q17" s="24" t="str">
        <x:v>待补 STORE-013</x:v>
      </x:c>
      <x:c r="R17" s="24" t="str"/>
    </x:row>
    <x:row r="18" ht="68" customHeight="1">
      <x:c r="A18" s="25" t="str">
        <x:v>STORE-014</x:v>
      </x:c>
      <x:c r="B18" s="25" t="str">
        <x:v>店铺环境</x:v>
      </x:c>
      <x:c r="C18" s="25" t="str">
        <x:v>待实操</x:v>
      </x:c>
      <x:c r="D18" s="25" t="str">
        <x:v>P0</x:v>
      </x:c>
      <x:c r="E18" s="24" t="str">
        <x:v>店铺所有者</x:v>
      </x:c>
      <x:c r="F18" s="24" t="str">
        <x:v>当前客户端</x:v>
      </x:c>
      <x:c r="G18" s="24" t="str">
        <x:v>店铺设备/IP</x:v>
      </x:c>
      <x:c r="H18" s="24" t="str">
        <x:v>店铺有授权、缓存、凭证或运行会话</x:v>
      </x:c>
      <x:c r="I18" s="24" t="str">
        <x:v>删除 1 次、并发访问 1 次</x:v>
      </x:c>
      <x:c r="J18" s="24" t="str">
        <x:v>运行中先禁用删除；确认需输入店铺名</x:v>
      </x:c>
      <x:c r="K18" s="24" t="str">
        <x:v>删除后将终止店铺会话并撤销成员访问。设备、凭证、录像和日志将按各自保留规则处理。请输入店铺名称确认删除。</x:v>
      </x:c>
      <x:c r="L18" s="24" t="str">
        <x:v>高风险确认弹窗</x:v>
      </x:c>
      <x:c r="M18" s="24" t="str">
        <x:v>待实操；期望先关闭会话、展示级联影响并软删除</x:v>
      </x:c>
      <x:c r="N18" s="24" t="str">
        <x:v>删除后 24小时内禁止同标识新建</x:v>
      </x:c>
      <x:c r="O18" s="24" t="str">
        <x:v>删除审计；通知所有者和管理员</x:v>
      </x:c>
      <x:c r="P18" s="24" t="str">
        <x:v>建议 7 日回收站；超期只能重建</x:v>
      </x:c>
      <x:c r="Q18" s="24" t="str">
        <x:v>待补 STORE-014</x:v>
      </x:c>
      <x:c r="R18" s="24" t="str"/>
    </x:row>
    <x:row r="19" ht="68" customHeight="1">
      <x:c r="A19" s="25" t="str">
        <x:v>STORE-015</x:v>
      </x:c>
      <x:c r="B19" s="25" t="str">
        <x:v>店铺环境</x:v>
      </x:c>
      <x:c r="C19" s="25" t="str">
        <x:v>待实操</x:v>
      </x:c>
      <x:c r="D19" s="25" t="str">
        <x:v>P0</x:v>
      </x:c>
      <x:c r="E19" s="24" t="str">
        <x:v>管理员</x:v>
      </x:c>
      <x:c r="F19" s="24" t="str">
        <x:v>当前客户端</x:v>
      </x:c>
      <x:c r="G19" s="24" t="str">
        <x:v>店铺设备/IP</x:v>
      </x:c>
      <x:c r="H19" s="24" t="str">
        <x:v>源/目标成员有效</x:v>
      </x:c>
      <x:c r="I19" s="24" t="str">
        <x:v>转让 1 次、双方并发编辑</x:v>
      </x:c>
      <x:c r="J19" s="24" t="str">
        <x:v>转让中冻结编辑、删除和凭证变更</x:v>
      </x:c>
      <x:c r="K19" s="24" t="str">
        <x:v>店铺将转让给“{成员}”。设备归属、账单主体和凭证管理员不会自动变更，是否继续？</x:v>
      </x:c>
      <x:c r="L19" s="24" t="str">
        <x:v>高风险确认弹窗</x:v>
      </x:c>
      <x:c r="M19" s="24" t="str">
        <x:v>待实操；期望店铺归属原子切换，关联资产逐项确认</x:v>
      </x:c>
      <x:c r="N19" s="24" t="str">
        <x:v>60s</x:v>
      </x:c>
      <x:c r="O19" s="24" t="str">
        <x:v>转让前后所有者、关联资产；双方通知</x:v>
      </x:c>
      <x:c r="P19" s="24" t="str">
        <x:v>失败自动回滚；上级管理员可反向转让</x:v>
      </x:c>
      <x:c r="Q19" s="24" t="str">
        <x:v>待补 STORE-015</x:v>
      </x:c>
      <x:c r="R19" s="24" t="str"/>
    </x:row>
    <x:row r="20" ht="68" customHeight="1">
      <x:c r="A20" s="25" t="str">
        <x:v>DEV-001</x:v>
      </x:c>
      <x:c r="B20" s="25" t="str">
        <x:v>设备与IP</x:v>
      </x:c>
      <x:c r="C20" s="25" t="str">
        <x:v>待实操</x:v>
      </x:c>
      <x:c r="D20" s="25" t="str">
        <x:v>P0</x:v>
      </x:c>
      <x:c r="E20" s="24" t="str">
        <x:v>设备购买者</x:v>
      </x:c>
      <x:c r="F20" s="24" t="str">
        <x:v>当前客户端购买页</x:v>
      </x:c>
      <x:c r="G20" s="24" t="str">
        <x:v>当前终端/IP</x:v>
      </x:c>
      <x:c r="H20" s="24" t="str">
        <x:v>已选地区、SKU 和时长</x:v>
      </x:c>
      <x:c r="I20" s="24" t="str">
        <x:v>结算停留 10 分钟后提交</x:v>
      </x:c>
      <x:c r="J20" s="24" t="str">
        <x:v>价格变化时支付禁用并要求重确认</x:v>
      </x:c>
      <x:c r="K20" s="24" t="str">
        <x:v>商品价格已由 ¥499 调整为 ¥529，优惠和库存也可能变化。请确认最新订单金额。</x:v>
      </x:c>
      <x:c r="L20" s="24" t="str">
        <x:v>价格变更弹窗</x:v>
      </x:c>
      <x:c r="M20" s="24" t="str">
        <x:v>待实操；期望结算使用服务端价格快照，不静默改价</x:v>
      </x:c>
      <x:c r="N20" s="24" t="str">
        <x:v>价格刷新 30s</x:v>
      </x:c>
      <x:c r="O20" s="24" t="str">
        <x:v>SKU、旧/新价格、快照版本</x:v>
      </x:c>
      <x:c r="P20" s="24" t="str">
        <x:v>接受新价格或返回选购</x:v>
      </x:c>
      <x:c r="Q20" s="24" t="str">
        <x:v>待补 DEV-001</x:v>
      </x:c>
      <x:c r="R20" s="24" t="str"/>
    </x:row>
    <x:row r="21" ht="68" customHeight="1">
      <x:c r="A21" s="25" t="str">
        <x:v>DEV-002</x:v>
      </x:c>
      <x:c r="B21" s="25" t="str">
        <x:v>设备与IP</x:v>
      </x:c>
      <x:c r="C21" s="25" t="str">
        <x:v>待实操</x:v>
      </x:c>
      <x:c r="D21" s="25" t="str">
        <x:v>P1</x:v>
      </x:c>
      <x:c r="E21" s="24" t="str">
        <x:v>多购买者</x:v>
      </x:c>
      <x:c r="F21" s="24" t="str">
        <x:v>当前客户端购买页</x:v>
      </x:c>
      <x:c r="G21" s="24" t="str">
        <x:v>多设备/同或不同 IP</x:v>
      </x:c>
      <x:c r="H21" s="24" t="str">
        <x:v>SKU 仅剩 1 台</x:v>
      </x:c>
      <x:c r="I21" s="24" t="str">
        <x:v>5 人同时购买</x:v>
      </x:c>
      <x:c r="J21" s="24" t="str">
        <x:v>库存锁定中 Loading</x:v>
      </x:c>
      <x:c r="K21" s="24" t="str">
        <x:v>库存不足，本次未创建订单，也未发生扣款。</x:v>
      </x:c>
      <x:c r="L21" s="24" t="str">
        <x:v>阻断弹窗</x:v>
      </x:c>
      <x:c r="M21" s="24" t="str">
        <x:v>待实操；期望创建订单时原子锁库存，不超卖</x:v>
      </x:c>
      <x:c r="N21" s="24" t="str">
        <x:v>库存锁建议 15分钟</x:v>
      </x:c>
      <x:c r="O21" s="24" t="str">
        <x:v>库存锁、释放、订单 ID</x:v>
      </x:c>
      <x:c r="P21" s="24" t="str">
        <x:v>预约补货或选替代 SKU</x:v>
      </x:c>
      <x:c r="Q21" s="24" t="str">
        <x:v>待补 DEV-002</x:v>
      </x:c>
      <x:c r="R21" s="24" t="str"/>
    </x:row>
    <x:row r="22" ht="68" customHeight="1">
      <x:c r="A22" s="25" t="str">
        <x:v>DEV-003</x:v>
      </x:c>
      <x:c r="B22" s="25" t="str">
        <x:v>设备与IP</x:v>
      </x:c>
      <x:c r="C22" s="25" t="str">
        <x:v>待实操</x:v>
      </x:c>
      <x:c r="D22" s="25" t="str">
        <x:v>P1</x:v>
      </x:c>
      <x:c r="E22" s="24" t="str">
        <x:v>设备购买者</x:v>
      </x:c>
      <x:c r="F22" s="24" t="str">
        <x:v>当前客户端购买页</x:v>
      </x:c>
      <x:c r="G22" s="24" t="str">
        <x:v>当前终端/IP</x:v>
      </x:c>
      <x:c r="H22" s="24" t="str">
        <x:v>SKU 有库存和数量上限</x:v>
      </x:c>
      <x:c r="I22" s="24" t="str">
        <x:v>连加 100 次、双击减号</x:v>
      </x:c>
      <x:c r="J22" s="24" t="str">
        <x:v>达上下限后步进按钮禁用</x:v>
      </x:c>
      <x:c r="K22" s="24" t="str">
        <x:v>单次最多购买 {上限} 台，当前可售库存为 {库存} 台。</x:v>
      </x:c>
      <x:c r="L22" s="24" t="str">
        <x:v>行内提示</x:v>
      </x:c>
      <x:c r="M22" s="24" t="str">
        <x:v>待实操；期望前后端校验，数量不能为 0 或负数</x:v>
      </x:c>
      <x:c r="N22" s="24" t="str">
        <x:v>300ms</x:v>
      </x:c>
      <x:c r="O22" s="24" t="str">
        <x:v>数量变更和上限命中</x:v>
      </x:c>
      <x:c r="P22" s="24" t="str">
        <x:v>调整数量</x:v>
      </x:c>
      <x:c r="Q22" s="24" t="str">
        <x:v>待补 DEV-003</x:v>
      </x:c>
      <x:c r="R22" s="24" t="str"/>
    </x:row>
    <x:row r="23" ht="68" customHeight="1">
      <x:c r="A23" s="25" t="str">
        <x:v>DEV-004</x:v>
      </x:c>
      <x:c r="B23" s="25" t="str">
        <x:v>设备与IP</x:v>
      </x:c>
      <x:c r="C23" s="25" t="str">
        <x:v>待实操</x:v>
      </x:c>
      <x:c r="D23" s="25" t="str">
        <x:v>P0</x:v>
      </x:c>
      <x:c r="E23" s="24" t="str">
        <x:v>设备购买者</x:v>
      </x:c>
      <x:c r="F23" s="24" t="str">
        <x:v>当前客户端购买页</x:v>
      </x:c>
      <x:c r="G23" s="24" t="str">
        <x:v>当前终端/IP</x:v>
      </x:c>
      <x:c r="H23" s="24" t="str">
        <x:v>已选时长折扣和优惠券</x:v>
      </x:c>
      <x:c r="I23" s="24" t="str">
        <x:v>多券切换 10 次</x:v>
      </x:c>
      <x:c r="J23" s="24" t="str">
        <x:v>计算中禁用支付；逐项展示金额</x:v>
      </x:c>
      <x:c r="K23" s="24" t="str">
        <x:v>订单金额：基价 ¥828，时长优惠 -¥329，优惠券 -¥50，应付 ¥449。折扣标签仅作展示，以应付金额为准。</x:v>
      </x:c>
      <x:c r="L23" s="24" t="str">
        <x:v>订单金额区</x:v>
      </x:c>
      <x:c r="M23" s="24" t="str">
        <x:v>待实操；期望以分为单位计算，标签近似不影响成交价</x:v>
      </x:c>
      <x:c r="N23" s="24" t="str">
        <x:v>500ms</x:v>
      </x:c>
      <x:c r="O23" s="24" t="str">
        <x:v>定价规则版本、券 ID、分摊明细</x:v>
      </x:c>
      <x:c r="P23" s="24" t="str">
        <x:v>更换时长/券或取消</x:v>
      </x:c>
      <x:c r="Q23" s="24" t="str">
        <x:v>待补 DEV-004</x:v>
      </x:c>
      <x:c r="R23" s="24" t="str"/>
    </x:row>
    <x:row r="24" ht="68" customHeight="1">
      <x:c r="A24" s="25" t="str">
        <x:v>DEV-005</x:v>
      </x:c>
      <x:c r="B24" s="25" t="str">
        <x:v>设备与IP</x:v>
      </x:c>
      <x:c r="C24" s="25" t="str">
        <x:v>待实操</x:v>
      </x:c>
      <x:c r="D24" s="25" t="str">
        <x:v>P0</x:v>
      </x:c>
      <x:c r="E24" s="24" t="str">
        <x:v>设备购买者</x:v>
      </x:c>
      <x:c r="F24" s="24" t="str">
        <x:v>当前客户端支付页</x:v>
      </x:c>
      <x:c r="G24" s="24" t="str">
        <x:v>当前终端/IP</x:v>
      </x:c>
      <x:c r="H24" s="24" t="str">
        <x:v>已创建待支付订单</x:v>
      </x:c>
      <x:c r="I24" s="24" t="str">
        <x:v>双击支付、2 标签并发</x:v>
      </x:c>
      <x:c r="J24" s="24" t="str">
        <x:v>首次提交后全端显示支付处理中</x:v>
      </x:c>
      <x:c r="K24" s="24" t="str">
        <x:v>订单正在支付，请勿重复提交。支付结果将在确认后更新。</x:v>
      </x:c>
      <x:c r="L24" s="24" t="str">
        <x:v>状态弹窗</x:v>
      </x:c>
      <x:c r="M24" s="24" t="str">
        <x:v>待实操；期望订单和渠道请求幂等，只扣款一次</x:v>
      </x:c>
      <x:c r="N24" s="24" t="str">
        <x:v>结果明确前锁定</x:v>
      </x:c>
      <x:c r="O24" s="24" t="str">
        <x:v>订单、支付流水、幂等键；支付通知</x:v>
      </x:c>
      <x:c r="P24" s="24" t="str">
        <x:v>查询支付结果；异常对账</x:v>
      </x:c>
      <x:c r="Q24" s="24" t="str">
        <x:v>待补 DEV-005</x:v>
      </x:c>
      <x:c r="R24" s="24" t="str"/>
    </x:row>
    <x:row r="25" ht="68" customHeight="1">
      <x:c r="A25" s="25" t="str">
        <x:v>DEV-006</x:v>
      </x:c>
      <x:c r="B25" s="25" t="str">
        <x:v>设备与IP</x:v>
      </x:c>
      <x:c r="C25" s="25" t="str">
        <x:v>待实操</x:v>
      </x:c>
      <x:c r="D25" s="25" t="str">
        <x:v>P0</x:v>
      </x:c>
      <x:c r="E25" s="24" t="str">
        <x:v>设备购买者</x:v>
      </x:c>
      <x:c r="F25" s="24" t="str">
        <x:v>当前客户端支付页</x:v>
      </x:c>
      <x:c r="G25" s="24" t="str">
        <x:v>当前终端/IP</x:v>
      </x:c>
      <x:c r="H25" s="24" t="str">
        <x:v>订单关闭与成功回调并发</x:v>
      </x:c>
      <x:c r="I25" s="24" t="str">
        <x:v>晚回调 1 次、刷新 5 次</x:v>
      </x:c>
      <x:c r="J25" s="24" t="str">
        <x:v>订单操作暂时锁定</x:v>
      </x:c>
      <x:c r="K25" s="24" t="str">
        <x:v>检测到支付结果延迟，正在核对资金，请勿重复支付。</x:v>
      </x:c>
      <x:c r="L25" s="24" t="str">
        <x:v>状态弹窗</x:v>
      </x:c>
      <x:c r="M25" s="24" t="str">
        <x:v>待实操；期望不出现已扣款但无订单，晚回调自动对账</x:v>
      </x:c>
      <x:c r="N25" s="24" t="str">
        <x:v>最长 5分钟核对</x:v>
      </x:c>
      <x:c r="O25" s="24" t="str">
        <x:v>渠道流水、关闭/回调时间；短信通知结果</x:v>
      </x:c>
      <x:c r="P25" s="24" t="str">
        <x:v>自动恢复订单或原路退款</x:v>
      </x:c>
      <x:c r="Q25" s="24" t="str">
        <x:v>待补 DEV-006</x:v>
      </x:c>
      <x:c r="R25" s="24" t="str"/>
    </x:row>
    <x:row r="26" ht="68" customHeight="1">
      <x:c r="A26" s="25" t="str">
        <x:v>DEV-007</x:v>
      </x:c>
      <x:c r="B26" s="25" t="str">
        <x:v>设备与IP</x:v>
      </x:c>
      <x:c r="C26" s="25" t="str">
        <x:v>待实操</x:v>
      </x:c>
      <x:c r="D26" s="25" t="str">
        <x:v>P0</x:v>
      </x:c>
      <x:c r="E26" s="24" t="str">
        <x:v>设备购买者</x:v>
      </x:c>
      <x:c r="F26" s="24" t="str">
        <x:v>当前客户端</x:v>
      </x:c>
      <x:c r="G26" s="24" t="str">
        <x:v>当前终端/IP</x:v>
      </x:c>
      <x:c r="H26" s="24" t="str">
        <x:v>支付成功但设备未交付</x:v>
      </x:c>
      <x:c r="I26" s="24" t="str">
        <x:v>等待 5/15/30 分钟</x:v>
      </x:c>
      <x:c r="J26" s="24" t="str">
        <x:v>显示配置进度；超时提供催交付</x:v>
      </x:c>
      <x:c r="K26" s="24" t="str">
        <x:v>支付成功，设备配置超时。订单资金安全，请提交催交付或申请人工处理。</x:v>
      </x:c>
      <x:c r="L26" s="24" t="str">
        <x:v>交付状态弹窗</x:v>
      </x:c>
      <x:c r="M26" s="24" t="str">
        <x:v>待实操；期望支付与交付分状态，不重复扣款</x:v>
      </x:c>
      <x:c r="N26" s="24" t="str">
        <x:v>催单 10分钟一次</x:v>
      </x:c>
      <x:c r="O26" s="24" t="str">
        <x:v>订单、供应商任务、交付状态；超时通知</x:v>
      </x:c>
      <x:c r="P26" s="24" t="str">
        <x:v>重试交付、换同价资源或退款审核</x:v>
      </x:c>
      <x:c r="Q26" s="24" t="str">
        <x:v>待补 DEV-007</x:v>
      </x:c>
      <x:c r="R26" s="24" t="str"/>
    </x:row>
    <x:row r="27" ht="68" customHeight="1">
      <x:c r="A27" s="25" t="str">
        <x:v>DEV-008</x:v>
      </x:c>
      <x:c r="B27" s="25" t="str">
        <x:v>设备与IP</x:v>
      </x:c>
      <x:c r="C27" s="25" t="str">
        <x:v>待实操</x:v>
      </x:c>
      <x:c r="D27" s="25" t="str">
        <x:v>P0</x:v>
      </x:c>
      <x:c r="E27" s="24" t="str">
        <x:v>设备管理员</x:v>
      </x:c>
      <x:c r="F27" s="24" t="str">
        <x:v>当前客户端</x:v>
      </x:c>
      <x:c r="G27" s="24" t="str">
        <x:v>自有代理/IP</x:v>
      </x:c>
      <x:c r="H27" s="24" t="str">
        <x:v>添加自有设备</x:v>
      </x:c>
      <x:c r="I27" s="24" t="str">
        <x:v>缺字段、非法端口、未知协议各 3 次</x:v>
      </x:c>
      <x:c r="J27" s="24" t="str">
        <x:v>必填合法前检测禁用</x:v>
      </x:c>
      <x:c r="K27" s="24" t="str">
        <x:v>请填写有效的主机、端口和代理协议。代理密码将加密保存，请勿在设备名称中填写凭证。</x:v>
      </x:c>
      <x:c r="L27" s="24" t="str">
        <x:v>字段提示</x:v>
      </x:c>
      <x:c r="M27" s="24" t="str">
        <x:v>待实操；期望凭证不进日志，保存前必须检测</x:v>
      </x:c>
      <x:c r="N27" s="24" t="str">
        <x:v>500ms</x:v>
      </x:c>
      <x:c r="O27" s="24" t="str">
        <x:v>地址脱敏、协议、校验结果</x:v>
      </x:c>
      <x:c r="P27" s="24" t="str">
        <x:v>修正配置</x:v>
      </x:c>
      <x:c r="Q27" s="24" t="str">
        <x:v>待补 DEV-008</x:v>
      </x:c>
      <x:c r="R27" s="24" t="str"/>
    </x:row>
    <x:row r="28" ht="68" customHeight="1">
      <x:c r="A28" s="25" t="str">
        <x:v>DEV-009</x:v>
      </x:c>
      <x:c r="B28" s="25" t="str">
        <x:v>设备与IP</x:v>
      </x:c>
      <x:c r="C28" s="25" t="str">
        <x:v>待实操</x:v>
      </x:c>
      <x:c r="D28" s="25" t="str">
        <x:v>P1</x:v>
      </x:c>
      <x:c r="E28" s="24" t="str">
        <x:v>设备管理员</x:v>
      </x:c>
      <x:c r="F28" s="24" t="str">
        <x:v>当前客户端</x:v>
      </x:c>
      <x:c r="G28" s="24" t="str">
        <x:v>自有代理/IP</x:v>
      </x:c>
      <x:c r="H28" s="24" t="str">
        <x:v>资料完整但检测异常</x:v>
      </x:c>
      <x:c r="I28" s="24" t="str">
        <x:v>检测失败 3 次、出口地区变化 2 次</x:v>
      </x:c>
      <x:c r="J28" s="24" t="str">
        <x:v>检测中禁用保存；失败可重试</x:v>
      </x:c>
      <x:c r="K28" s="24" t="str">
        <x:v>代理连接失败：认证失败。当前检测出口为“日本东京”，与预期“美国”不一致，请确认后再保存。</x:v>
      </x:c>
      <x:c r="L28" s="24" t="str">
        <x:v>检测结果弹窗</x:v>
      </x:c>
      <x:c r="M28" s="24" t="str">
        <x:v>待实操；期望连通和地理结果分别展示，不把一次检测当长期保证</x:v>
      </x:c>
      <x:c r="N28" s="24" t="str">
        <x:v>失败 10s；成功结果复用 60s</x:v>
      </x:c>
      <x:c r="O28" s="24" t="str">
        <x:v>耗时、出口 IP 脱敏、地区、失败码</x:v>
      </x:c>
      <x:c r="P28" s="24" t="str">
        <x:v>修改凭证、联系代理商或接受差异</x:v>
      </x:c>
      <x:c r="Q28" s="24" t="str">
        <x:v>待补 DEV-009</x:v>
      </x:c>
      <x:c r="R28" s="24" t="str"/>
    </x:row>
    <x:row r="29" ht="68" customHeight="1">
      <x:c r="A29" s="25" t="str">
        <x:v>DEV-010</x:v>
      </x:c>
      <x:c r="B29" s="25" t="str">
        <x:v>设备与IP</x:v>
      </x:c>
      <x:c r="C29" s="25" t="str">
        <x:v>待实操</x:v>
      </x:c>
      <x:c r="D29" s="25" t="str">
        <x:v>P1</x:v>
      </x:c>
      <x:c r="E29" s="24" t="str">
        <x:v>设备管理员</x:v>
      </x:c>
      <x:c r="F29" s="24" t="str">
        <x:v>当前客户端</x:v>
      </x:c>
      <x:c r="G29" s="24" t="str">
        <x:v>多条自有代理/IP</x:v>
      </x:c>
      <x:c r="H29" s="24" t="str">
        <x:v>批量导入</x:v>
      </x:c>
      <x:c r="I29" s="24" t="str">
        <x:v>重复行、部分失败、重复提交</x:v>
      </x:c>
      <x:c r="J29" s="24" t="str">
        <x:v>校验后才能确认；显示逐行结果</x:v>
      </x:c>
      <x:c r="K29" s="24" t="str">
        <x:v>共 100 行：80 行可导入，15 行重复，5 行连接失败。请选择仅导入成功项或修正后全部重试。</x:v>
      </x:c>
      <x:c r="L29" s="24" t="str">
        <x:v>导入结果弹窗</x:v>
      </x:c>
      <x:c r="M29" s="24" t="str">
        <x:v>待实操；期望批次幂等，部分成功需明确选择</x:v>
      </x:c>
      <x:c r="N29" s="24" t="str">
        <x:v>同文件 30s 去重</x:v>
      </x:c>
      <x:c r="O29" s="24" t="str">
        <x:v>批次、行号、设备指纹、失败原因</x:v>
      </x:c>
      <x:c r="P29" s="24" t="str">
        <x:v>导入成功项或下载错误明细</x:v>
      </x:c>
      <x:c r="Q29" s="24" t="str">
        <x:v>待补 DEV-010</x:v>
      </x:c>
      <x:c r="R29" s="24" t="str"/>
    </x:row>
    <x:row r="30" ht="68" customHeight="1">
      <x:c r="A30" s="25" t="str">
        <x:v>DEV-011</x:v>
      </x:c>
      <x:c r="B30" s="25" t="str">
        <x:v>设备与IP</x:v>
      </x:c>
      <x:c r="C30" s="25" t="str">
        <x:v>待实操</x:v>
      </x:c>
      <x:c r="D30" s="25" t="str">
        <x:v>P0</x:v>
      </x:c>
      <x:c r="E30" s="24" t="str">
        <x:v>有续费权限成员</x:v>
      </x:c>
      <x:c r="F30" s="24" t="str">
        <x:v>当前客户端</x:v>
      </x:c>
      <x:c r="G30" s="24" t="str">
        <x:v>有效平台设备/IP</x:v>
      </x:c>
      <x:c r="H30" s="24" t="str">
        <x:v>设备仍有效</x:v>
      </x:c>
      <x:c r="I30" s="24" t="str">
        <x:v>2 人同时手动续费</x:v>
      </x:c>
      <x:c r="J30" s="24" t="str">
        <x:v>首个订单后显示处理中</x:v>
      </x:c>
      <x:c r="K30" s="24" t="str">
        <x:v>该设备已有续费订单处理中，请勿重复续费。到期时间将在支付确认后更新。</x:v>
      </x:c>
      <x:c r="L30" s="24" t="str">
        <x:v>Toast/状态弹窗</x:v>
      </x:c>
      <x:c r="M30" s="24" t="str">
        <x:v>待实操；期望同设备同时只有一个有效续费事务</x:v>
      </x:c>
      <x:c r="N30" s="24" t="str">
        <x:v>支付完成前锁定</x:v>
      </x:c>
      <x:c r="O30" s="24" t="str">
        <x:v>设备 ID、原到期日、续费订单、操作者</x:v>
      </x:c>
      <x:c r="P30" s="24" t="str">
        <x:v>完成/取消原订单后重试</x:v>
      </x:c>
      <x:c r="Q30" s="24" t="str">
        <x:v>待补 DEV-011</x:v>
      </x:c>
      <x:c r="R30" s="24" t="str"/>
    </x:row>
    <x:row r="31" ht="68" customHeight="1">
      <x:c r="A31" s="25" t="str">
        <x:v>DEV-012</x:v>
      </x:c>
      <x:c r="B31" s="25" t="str">
        <x:v>设备与IP</x:v>
      </x:c>
      <x:c r="C31" s="25" t="str">
        <x:v>待实操</x:v>
      </x:c>
      <x:c r="D31" s="25" t="str">
        <x:v>P0</x:v>
      </x:c>
      <x:c r="E31" s="24" t="str">
        <x:v>财务/管理员</x:v>
      </x:c>
      <x:c r="F31" s="24" t="str">
        <x:v>当前客户端/服务端任务</x:v>
      </x:c>
      <x:c r="G31" s="24" t="str">
        <x:v>平台设备/IP</x:v>
      </x:c>
      <x:c r="H31" s="24" t="str">
        <x:v>自动续费且余额不足或价格变化</x:v>
      </x:c>
      <x:c r="I31" s="24" t="str">
        <x:v>扣款任务重试 3 次</x:v>
      </x:c>
      <x:c r="J31" s="24" t="str">
        <x:v>扣款中不可重复开关；失败显示充值入口</x:v>
      </x:c>
      <x:c r="K31" s="24" t="str">
        <x:v>自动续费失败：团队余额不足 ¥{差额}。设备将在 YYYY-MM-DD HH:mm 到期，请及时充值或手动续费。</x:v>
      </x:c>
      <x:c r="L31" s="24" t="str">
        <x:v>站内弹窗/列表状态</x:v>
      </x:c>
      <x:c r="M31" s="24" t="str">
        <x:v>待实操；期望只生成一次扣款，价格变化提前通知</x:v>
      </x:c>
      <x:c r="N31" s="24" t="str">
        <x:v>建议失败后 1h、6h 重试，最多 2 次</x:v>
      </x:c>
      <x:c r="O31" s="24" t="str">
        <x:v>扣款任务、余额前后值；站内信和短信</x:v>
      </x:c>
      <x:c r="P31" s="24" t="str">
        <x:v>充值后重试、手动续费或取消</x:v>
      </x:c>
      <x:c r="Q31" s="24" t="str">
        <x:v>待补 DEV-012</x:v>
      </x:c>
      <x:c r="R31" s="24" t="str"/>
    </x:row>
    <x:row r="32" ht="68" customHeight="1">
      <x:c r="A32" s="25" t="str">
        <x:v>DEV-013</x:v>
      </x:c>
      <x:c r="B32" s="25" t="str">
        <x:v>设备与IP</x:v>
      </x:c>
      <x:c r="C32" s="25" t="str">
        <x:v>待实操</x:v>
      </x:c>
      <x:c r="D32" s="25" t="str">
        <x:v>P0</x:v>
      </x:c>
      <x:c r="E32" s="24" t="str">
        <x:v>店铺成员/管理员</x:v>
      </x:c>
      <x:c r="F32" s="24" t="str">
        <x:v>当前客户端</x:v>
      </x:c>
      <x:c r="G32" s="24" t="str">
        <x:v>即将到期平台设备/IP</x:v>
      </x:c>
      <x:c r="H32" s="24" t="str">
        <x:v>设备到期且绑定多店铺</x:v>
      </x:c>
      <x:c r="I32" s="24" t="str">
        <x:v>到期瞬间存在运行会话</x:v>
      </x:c>
      <x:c r="J32" s="24" t="str">
        <x:v>访问立即禁用；运行会话显示退出倒计时</x:v>
      </x:c>
      <x:c r="K32" s="24" t="str">
        <x:v>设备已到期，关联的 {n} 家店铺将无法继续访问。请续费或绑定新设备。</x:v>
      </x:c>
      <x:c r="L32" s="24" t="str">
        <x:v>阻断弹窗</x:v>
      </x:c>
      <x:c r="M32" s="24" t="str">
        <x:v>待实操；期望到期、解绑和会话终止状态一致，提前 7/3/1 天提醒</x:v>
      </x:c>
      <x:c r="N32" s="24" t="str">
        <x:v>无</x:v>
      </x:c>
      <x:c r="O32" s="24" t="str">
        <x:v>到期、解绑、会话终止；短信通知负责人</x:v>
      </x:c>
      <x:c r="P32" s="24" t="str">
        <x:v>允许时续费或批量绑定新设备</x:v>
      </x:c>
      <x:c r="Q32" s="24" t="str">
        <x:v>待补 DEV-013</x:v>
      </x:c>
      <x:c r="R32" s="24" t="str"/>
    </x:row>
    <x:row r="33" ht="68" customHeight="1">
      <x:c r="A33" s="25" t="str">
        <x:v>DEV-014</x:v>
      </x:c>
      <x:c r="B33" s="25" t="str">
        <x:v>设备与IP</x:v>
      </x:c>
      <x:c r="C33" s="25" t="str">
        <x:v>待实操</x:v>
      </x:c>
      <x:c r="D33" s="25" t="str">
        <x:v>P1</x:v>
      </x:c>
      <x:c r="E33" s="24" t="str">
        <x:v>有换 IP 权限成员</x:v>
      </x:c>
      <x:c r="F33" s="24" t="str">
        <x:v>当前客户端</x:v>
      </x:c>
      <x:c r="G33" s="24" t="str">
        <x:v>平台设备/IP</x:v>
      </x:c>
      <x:c r="H33" s="24" t="str">
        <x:v>无次数、无库存、供应商不一致或折算不足</x:v>
      </x:c>
      <x:c r="I33" s="24" t="str">
        <x:v>每类 3 次</x:v>
      </x:c>
      <x:c r="J33" s="24" t="str">
        <x:v>不满足条件时下一步禁用</x:v>
      </x:c>
      <x:c r="K33" s="24" t="str">
        <x:v>暂不可更换：剩余次数为 0，或当前无同供应商同价库存，或折算后剩余时长不足 30 天。</x:v>
      </x:c>
      <x:c r="L33" s="24" t="str">
        <x:v>资格结果弹窗</x:v>
      </x:c>
      <x:c r="M33" s="24" t="str">
        <x:v>待实操；期望确认前展示每项资格检查</x:v>
      </x:c>
      <x:c r="N33" s="24" t="str">
        <x:v>资格刷新 30s</x:v>
      </x:c>
      <x:c r="O33" s="24" t="str">
        <x:v>规则、次数、库存、折算明细</x:v>
      </x:c>
      <x:c r="P33" s="24" t="str">
        <x:v>续费、等待库存或联系客服</x:v>
      </x:c>
      <x:c r="Q33" s="24" t="str">
        <x:v>待补 DEV-014</x:v>
      </x:c>
      <x:c r="R33" s="24" t="str"/>
    </x:row>
    <x:row r="34" ht="68" customHeight="1">
      <x:c r="A34" s="25" t="str">
        <x:v>DEV-015</x:v>
      </x:c>
      <x:c r="B34" s="25" t="str">
        <x:v>设备与IP</x:v>
      </x:c>
      <x:c r="C34" s="25" t="str">
        <x:v>待实操</x:v>
      </x:c>
      <x:c r="D34" s="25" t="str">
        <x:v>P0</x:v>
      </x:c>
      <x:c r="E34" s="24" t="str">
        <x:v>设备管理员</x:v>
      </x:c>
      <x:c r="F34" s="24" t="str">
        <x:v>当前客户端</x:v>
      </x:c>
      <x:c r="G34" s="24" t="str">
        <x:v>旧/新平台设备 IP</x:v>
      </x:c>
      <x:c r="H34" s="24" t="str">
        <x:v>换 IP 资格通过，旧设备绑定店铺</x:v>
      </x:c>
      <x:c r="I34" s="24" t="str">
        <x:v>自动承接/自动解绑各 1 次；中断 1 次</x:v>
      </x:c>
      <x:c r="J34" s="24" t="str">
        <x:v>提交后冻结旧设备和绑定编辑</x:v>
      </x:c>
      <x:c r="K34" s="24" t="str">
        <x:v>请选择：将 {n} 家店铺自动绑定到新设备，或解除全部绑定后手动处理。更换完成后旧 IP 不可继续使用。</x:v>
      </x:c>
      <x:c r="L34" s="24" t="str">
        <x:v>高风险确认弹窗</x:v>
      </x:c>
      <x:c r="M34" s="24" t="str">
        <x:v>待实操；期望换 IP、时长折算和绑定迁移构成可回滚事务</x:v>
      </x:c>
      <x:c r="N34" s="24" t="str">
        <x:v>成功后建议 5分钟内不可再次更换</x:v>
      </x:c>
      <x:c r="O34" s="24" t="str">
        <x:v>新旧设备、绑定清单、次数扣减；通知负责人</x:v>
      </x:c>
      <x:c r="P34" s="24" t="str">
        <x:v>失败恢复旧设备；支持批量重绑</x:v>
      </x:c>
      <x:c r="Q34" s="24" t="str">
        <x:v>待补 DEV-015</x:v>
      </x:c>
      <x:c r="R34" s="24" t="str"/>
    </x:row>
  </x:sheetData>
  <x:mergeCells>
    <x:mergeCell ref="A1:R1"/>
    <x:mergeCell ref="A2:R2"/>
  </x:mergeCells>
  <x:conditionalFormatting sqref="C5:C34">
    <x:cfRule type="containsText" dxfId="12" priority="1" operator="containsText" text="已实操"/>
    <x:cfRule type="containsText" dxfId="13" priority="2" operator="containsText" text="待实操"/>
    <x:cfRule type="containsText" dxfId="14" priority="3" operator="containsText" text="部分实操"/>
  </x:conditionalFormatting>
  <x:conditionalFormatting sqref="D5:D34">
    <x:cfRule type="containsText" dxfId="15" priority="4" operator="containsText" text="P0"/>
    <x:cfRule type="containsText" dxfId="16" priority="5" operator="containsText" text="P1"/>
    <x:cfRule type="containsText" dxfId="17" priority="6" operator="containsText" text="P2"/>
  </x:conditionalFormatting>
  <x:dataValidations count="2">
    <x:dataValidation type="list" sqref="C5:C34">
      <x:formula1>"待实操,部分实操,已实操,已实操，重点"</x:formula1>
    </x:dataValidation>
    <x:dataValidation type="list" sqref="D5:D34">
      <x:formula1>"P0,P1,P2"</x:formula1>
    </x:dataValidation>
  </x:dataValidations>
  <x:pageMargins left="0.7" right="0.7" top="0.75" bottom="0.75" header="0.3" footer="0.3"/>
  <x:tableParts count="1">
    <x:tablePart xmlns:r="http://schemas.openxmlformats.org/officeDocument/2006/relationships" r:id="R043d17659fcd4c0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团队与安全异常场景</x:v>
      </x:c>
      <x:c r="B1" s="3"/>
      <x:c r="C1" s="3"/>
      <x:c r="D1" s="3"/>
      <x:c r="E1" s="3"/>
      <x:c r="F1" s="3"/>
      <x:c r="G1" s="3"/>
      <x:c r="H1" s="3"/>
      <x:c r="I1" s="3"/>
      <x:c r="J1" s="3"/>
      <x:c r="K1" s="3"/>
      <x:c r="L1" s="3"/>
      <x:c r="M1" s="3"/>
      <x:c r="N1" s="3"/>
      <x:c r="O1" s="3"/>
      <x:c r="P1" s="3"/>
      <x:c r="Q1" s="3"/>
      <x:c r="R1" s="3"/>
    </x:row>
    <x:row r="2" ht="34" customHeight="1">
      <x:c r="A2" s="7" t="str">
        <x:v>成员、部门、角色、授权、安全策略、监控与审计，共 25 条待实操场景。</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TEAM-001</x:v>
      </x:c>
      <x:c r="B5" s="25" t="str">
        <x:v>团队与权限</x:v>
      </x:c>
      <x:c r="C5" s="25" t="str">
        <x:v>待实操</x:v>
      </x:c>
      <x:c r="D5" s="25" t="str">
        <x:v>P1</x:v>
      </x:c>
      <x:c r="E5" s="24" t="str">
        <x:v>管理员</x:v>
      </x:c>
      <x:c r="F5" s="24" t="str">
        <x:v>当前客户端</x:v>
      </x:c>
      <x:c r="G5" s="24" t="str">
        <x:v>当前设备/IP</x:v>
      </x:c>
      <x:c r="H5" s="24" t="str">
        <x:v>部门和角色已存在</x:v>
      </x:c>
      <x:c r="I5" s="24" t="str">
        <x:v>空值、弱密码、非法名称各 3 次</x:v>
      </x:c>
      <x:c r="J5" s="24" t="str">
        <x:v>表单合法前提交禁用</x:v>
      </x:c>
      <x:c r="K5" s="24" t="str">
        <x:v>请填写部门、成员名称、登录密码和角色。成员名称格式不正确。</x:v>
      </x:c>
      <x:c r="L5" s="24" t="str">
        <x:v>字段提示</x:v>
      </x:c>
      <x:c r="M5" s="24" t="str">
        <x:v>待实操；期望无效成员不创建，密码不写日志</x:v>
      </x:c>
      <x:c r="N5" s="24" t="str">
        <x:v>500ms</x:v>
      </x:c>
      <x:c r="O5" s="24" t="str">
        <x:v>字段校验，不记录密码</x:v>
      </x:c>
      <x:c r="P5" s="24" t="str">
        <x:v>修正后提交</x:v>
      </x:c>
      <x:c r="Q5" s="24" t="str">
        <x:v>待补 TEAM-001</x:v>
      </x:c>
      <x:c r="R5" s="24" t="str"/>
    </x:row>
    <x:row r="6" ht="68" customHeight="1">
      <x:c r="A6" s="25" t="str">
        <x:v>TEAM-002</x:v>
      </x:c>
      <x:c r="B6" s="25" t="str">
        <x:v>团队与权限</x:v>
      </x:c>
      <x:c r="C6" s="25" t="str">
        <x:v>待实操</x:v>
      </x:c>
      <x:c r="D6" s="25" t="str">
        <x:v>P1</x:v>
      </x:c>
      <x:c r="E6" s="24" t="str">
        <x:v>两名管理员</x:v>
      </x:c>
      <x:c r="F6" s="24" t="str">
        <x:v>当前客户端</x:v>
      </x:c>
      <x:c r="G6" s="24" t="str">
        <x:v>两台设备/同团队</x:v>
      </x:c>
      <x:c r="H6" s="24" t="str">
        <x:v>同时创建同名成员或超过席位</x:v>
      </x:c>
      <x:c r="I6" s="24" t="str">
        <x:v>并发 2</x:v>
      </x:c>
      <x:c r="J6" s="24" t="str">
        <x:v>首次成功后另一请求失败</x:v>
      </x:c>
      <x:c r="K6" s="24" t="str">
        <x:v>成员名称已被占用，或团队可用成员席位不足。请刷新后重试。</x:v>
      </x:c>
      <x:c r="L6" s="24" t="str">
        <x:v>阻断弹窗</x:v>
      </x:c>
      <x:c r="M6" s="24" t="str">
        <x:v>待实操；期望唯一性和席位由服务端原子校验</x:v>
      </x:c>
      <x:c r="N6" s="24" t="str">
        <x:v>1s</x:v>
      </x:c>
      <x:c r="O6" s="24" t="str">
        <x:v>创建请求、冲突对象、席位变化</x:v>
      </x:c>
      <x:c r="P6" s="24" t="str">
        <x:v>更名、扩容或刷新</x:v>
      </x:c>
      <x:c r="Q6" s="24" t="str">
        <x:v>待补 TEAM-002</x:v>
      </x:c>
      <x:c r="R6" s="24" t="str"/>
    </x:row>
    <x:row r="7" ht="68" customHeight="1">
      <x:c r="A7" s="25" t="str">
        <x:v>TEAM-003</x:v>
      </x:c>
      <x:c r="B7" s="25" t="str">
        <x:v>团队与权限</x:v>
      </x:c>
      <x:c r="C7" s="25" t="str">
        <x:v>待实操</x:v>
      </x:c>
      <x:c r="D7" s="25" t="str">
        <x:v>P0</x:v>
      </x:c>
      <x:c r="E7" s="24" t="str">
        <x:v>管理员</x:v>
      </x:c>
      <x:c r="F7" s="24" t="str">
        <x:v>当前客户端</x:v>
      </x:c>
      <x:c r="G7" s="24" t="str">
        <x:v>当前设备/IP</x:v>
      </x:c>
      <x:c r="H7" s="24" t="str">
        <x:v>成员存在有效会话</x:v>
      </x:c>
      <x:c r="I7" s="24" t="str">
        <x:v>修改密码、手机号、名称各 1 次</x:v>
      </x:c>
      <x:c r="J7" s="24" t="str">
        <x:v>保存前展示影响确认</x:v>
      </x:c>
      <x:c r="K7" s="24" t="str">
        <x:v>修改密码或登录手机号码后，该成员所有已登录设备将退出。是否继续？</x:v>
      </x:c>
      <x:c r="L7" s="24" t="str">
        <x:v>高风险确认弹窗</x:v>
      </x:c>
      <x:c r="M7" s="24" t="str">
        <x:v>待实操；期望敏感资料变更与会话撤销原子生效</x:v>
      </x:c>
      <x:c r="N7" s="24" t="str">
        <x:v>60s 内禁止重复改手机号</x:v>
      </x:c>
      <x:c r="O7" s="24" t="str">
        <x:v>变更前后脱敏值；通知新旧手机号</x:v>
      </x:c>
      <x:c r="P7" s="24" t="str">
        <x:v>重新登录；管理员可修正</x:v>
      </x:c>
      <x:c r="Q7" s="24" t="str">
        <x:v>待补 TEAM-003</x:v>
      </x:c>
      <x:c r="R7" s="24" t="str"/>
    </x:row>
    <x:row r="8" ht="68" customHeight="1">
      <x:c r="A8" s="25" t="str">
        <x:v>TEAM-004</x:v>
      </x:c>
      <x:c r="B8" s="25" t="str">
        <x:v>团队与权限</x:v>
      </x:c>
      <x:c r="C8" s="25" t="str">
        <x:v>待实操</x:v>
      </x:c>
      <x:c r="D8" s="25" t="str">
        <x:v>P0</x:v>
      </x:c>
      <x:c r="E8" s="24" t="str">
        <x:v>管理员</x:v>
      </x:c>
      <x:c r="F8" s="24" t="str">
        <x:v>当前客户端</x:v>
      </x:c>
      <x:c r="G8" s="24" t="str">
        <x:v>成员正在使用的终端/IP</x:v>
      </x:c>
      <x:c r="H8" s="24" t="str">
        <x:v>成员正在访问店铺</x:v>
      </x:c>
      <x:c r="I8" s="24" t="str">
        <x:v>暂停 1 次、并发操作 5 次</x:v>
      </x:c>
      <x:c r="J8" s="24" t="str">
        <x:v>提交后成员操作立即禁用</x:v>
      </x:c>
      <x:c r="K8" s="24" t="str">
        <x:v>暂停后，该成员将立即退出客户端和店铺环境。店铺授权将冻结保留，不会转移。确认暂停？</x:v>
      </x:c>
      <x:c r="L8" s="24" t="str">
        <x:v>高风险确认弹窗</x:v>
      </x:c>
      <x:c r="M8" s="24" t="str">
        <x:v>待实操；期望即时撤销会话，并用“冻结保留”解决文档冲突</x:v>
      </x:c>
      <x:c r="N8" s="24" t="str">
        <x:v>30s</x:v>
      </x:c>
      <x:c r="O8" s="24" t="str">
        <x:v>暂停、会话终止、授权快照；通知成员</x:v>
      </x:c>
      <x:c r="P8" s="24" t="str">
        <x:v>管理员恢复</x:v>
      </x:c>
      <x:c r="Q8" s="24" t="str">
        <x:v>待补 TEAM-004</x:v>
      </x:c>
      <x:c r="R8" s="24" t="str"/>
    </x:row>
    <x:row r="9" ht="68" customHeight="1">
      <x:c r="A9" s="25" t="str">
        <x:v>TEAM-005</x:v>
      </x:c>
      <x:c r="B9" s="25" t="str">
        <x:v>团队与权限</x:v>
      </x:c>
      <x:c r="C9" s="25" t="str">
        <x:v>待实操</x:v>
      </x:c>
      <x:c r="D9" s="25" t="str">
        <x:v>P0</x:v>
      </x:c>
      <x:c r="E9" s="24" t="str">
        <x:v>管理员</x:v>
      </x:c>
      <x:c r="F9" s="24" t="str">
        <x:v>当前客户端</x:v>
      </x:c>
      <x:c r="G9" s="24" t="str">
        <x:v>当前设备/IP</x:v>
      </x:c>
      <x:c r="H9" s="24" t="str">
        <x:v>成员已暂停</x:v>
      </x:c>
      <x:c r="I9" s="24" t="str">
        <x:v>恢复 1 次、重复点击 3 次</x:v>
      </x:c>
      <x:c r="J9" s="24" t="str">
        <x:v>恢复中禁用</x:v>
      </x:c>
      <x:c r="K9" s="24" t="str">
        <x:v>恢复后将按暂停前的角色、部门和店铺授权重新计算权限。发现 {n} 项授权已失效，请恢复后重新配置。</x:v>
      </x:c>
      <x:c r="L9" s="24" t="str">
        <x:v>影响提示弹窗</x:v>
      </x:c>
      <x:c r="M9" s="24" t="str">
        <x:v>待实操；期望不恢复已删除对象的授权</x:v>
      </x:c>
      <x:c r="N9" s="24" t="str">
        <x:v>10s</x:v>
      </x:c>
      <x:c r="O9" s="24" t="str">
        <x:v>恢复前后权限差异；通知成员</x:v>
      </x:c>
      <x:c r="P9" s="24" t="str">
        <x:v>补授权或重新分配角色</x:v>
      </x:c>
      <x:c r="Q9" s="24" t="str">
        <x:v>待补 TEAM-005</x:v>
      </x:c>
      <x:c r="R9" s="24" t="str"/>
    </x:row>
    <x:row r="10" ht="68" customHeight="1">
      <x:c r="A10" s="25" t="str">
        <x:v>TEAM-006</x:v>
      </x:c>
      <x:c r="B10" s="25" t="str">
        <x:v>团队与权限</x:v>
      </x:c>
      <x:c r="C10" s="25" t="str">
        <x:v>待实操</x:v>
      </x:c>
      <x:c r="D10" s="25" t="str">
        <x:v>P0</x:v>
      </x:c>
      <x:c r="E10" s="24" t="str">
        <x:v>上级管理员</x:v>
      </x:c>
      <x:c r="F10" s="24" t="str">
        <x:v>当前客户端</x:v>
      </x:c>
      <x:c r="G10" s="24" t="str">
        <x:v>当前设备/IP</x:v>
      </x:c>
      <x:c r="H10" s="24" t="str">
        <x:v>暂停成员仍持有资产</x:v>
      </x:c>
      <x:c r="I10" s="24" t="str">
        <x:v>删除 1 次</x:v>
      </x:c>
      <x:c r="J10" s="24" t="str">
        <x:v>未完成资产移交前删除禁用</x:v>
      </x:c>
      <x:c r="K10" s="24" t="str">
        <x:v>该成员仍负责 {n} 家店铺、{m} 个凭证授权和待审批事项，请先选择接收人。删除后账号不可登录。</x:v>
      </x:c>
      <x:c r="L10" s="24" t="str">
        <x:v>高风险确认弹窗</x:v>
      </x:c>
      <x:c r="M10" s="24" t="str">
        <x:v>待实操；期望先移交再软删除，历史日志保留原操作者</x:v>
      </x:c>
      <x:c r="N10" s="24" t="str">
        <x:v>24小时内禁止同名重建</x:v>
      </x:c>
      <x:c r="O10" s="24" t="str">
        <x:v>移交清单、删除审计；通知接收人</x:v>
      </x:c>
      <x:c r="P10" s="24" t="str">
        <x:v>建议 7 日回收站</x:v>
      </x:c>
      <x:c r="Q10" s="24" t="str">
        <x:v>待补 TEAM-006</x:v>
      </x:c>
      <x:c r="R10" s="24" t="str"/>
    </x:row>
    <x:row r="11" ht="68" customHeight="1">
      <x:c r="A11" s="25" t="str">
        <x:v>TEAM-007</x:v>
      </x:c>
      <x:c r="B11" s="25" t="str">
        <x:v>团队与权限</x:v>
      </x:c>
      <x:c r="C11" s="25" t="str">
        <x:v>待实操</x:v>
      </x:c>
      <x:c r="D11" s="25" t="str">
        <x:v>P1</x:v>
      </x:c>
      <x:c r="E11" s="24" t="str">
        <x:v>部门管理员</x:v>
      </x:c>
      <x:c r="F11" s="24" t="str">
        <x:v>当前客户端</x:v>
      </x:c>
      <x:c r="G11" s="24" t="str">
        <x:v>当前设备/IP</x:v>
      </x:c>
      <x:c r="H11" s="24" t="str">
        <x:v>部门有成员或下级部门</x:v>
      </x:c>
      <x:c r="I11" s="24" t="str">
        <x:v>删除 3 次</x:v>
      </x:c>
      <x:c r="J11" s="24" t="str">
        <x:v>删除禁用并显示阻断原因</x:v>
      </x:c>
      <x:c r="K11" s="24" t="str">
        <x:v>该部门包含 {n} 名成员和 {m} 个下级部门，无法删除。请先迁移成员并处理下级部门。</x:v>
      </x:c>
      <x:c r="L11" s="24" t="str">
        <x:v>阻断弹窗</x:v>
      </x:c>
      <x:c r="M11" s="24" t="str">
        <x:v>待实操；期望不产生孤儿成员或断裂部门树</x:v>
      </x:c>
      <x:c r="N11" s="24" t="str">
        <x:v>无</x:v>
      </x:c>
      <x:c r="O11" s="24" t="str">
        <x:v>删除尝试及依赖数量</x:v>
      </x:c>
      <x:c r="P11" s="24" t="str">
        <x:v>完成迁移后删除</x:v>
      </x:c>
      <x:c r="Q11" s="24" t="str">
        <x:v>待补 TEAM-007</x:v>
      </x:c>
      <x:c r="R11" s="24" t="str"/>
    </x:row>
    <x:row r="12" ht="68" customHeight="1">
      <x:c r="A12" s="25" t="str">
        <x:v>TEAM-008</x:v>
      </x:c>
      <x:c r="B12" s="25" t="str">
        <x:v>团队与权限</x:v>
      </x:c>
      <x:c r="C12" s="25" t="str">
        <x:v>待实操</x:v>
      </x:c>
      <x:c r="D12" s="25" t="str">
        <x:v>P0</x:v>
      </x:c>
      <x:c r="E12" s="24" t="str">
        <x:v>管理员</x:v>
      </x:c>
      <x:c r="F12" s="24" t="str">
        <x:v>当前客户端</x:v>
      </x:c>
      <x:c r="G12" s="24" t="str">
        <x:v>当前设备/IP</x:v>
      </x:c>
      <x:c r="H12" s="24" t="str">
        <x:v>移动成员或部门</x:v>
      </x:c>
      <x:c r="I12" s="24" t="str">
        <x:v>批量移动 50 人、并发授权变更</x:v>
      </x:c>
      <x:c r="J12" s="24" t="str">
        <x:v>计算影响期间提交禁用</x:v>
      </x:c>
      <x:c r="K12" s="24" t="str">
        <x:v>调整部门将改变 50 名成员的数据可见范围，其中 8 人将失去店铺访问权限。确认生效？</x:v>
      </x:c>
      <x:c r="L12" s="24" t="str">
        <x:v>影响确认弹窗</x:v>
      </x:c>
      <x:c r="M12" s="24" t="str">
        <x:v>待实操；期望组织关系和数据范围同事务更新</x:v>
      </x:c>
      <x:c r="N12" s="24" t="str">
        <x:v>60s 内同部门不可再次移动</x:v>
      </x:c>
      <x:c r="O12" s="24" t="str">
        <x:v>范围差异、受影响成员；站内通知</x:v>
      </x:c>
      <x:c r="P12" s="24" t="str">
        <x:v>失败回滚；成功可反向移动</x:v>
      </x:c>
      <x:c r="Q12" s="24" t="str">
        <x:v>待补 TEAM-008</x:v>
      </x:c>
      <x:c r="R12" s="24" t="str"/>
    </x:row>
    <x:row r="13" ht="68" customHeight="1">
      <x:c r="A13" s="25" t="str">
        <x:v>TEAM-009</x:v>
      </x:c>
      <x:c r="B13" s="25" t="str">
        <x:v>团队与权限</x:v>
      </x:c>
      <x:c r="C13" s="25" t="str">
        <x:v>待实操</x:v>
      </x:c>
      <x:c r="D13" s="25" t="str">
        <x:v>P0</x:v>
      </x:c>
      <x:c r="E13" s="24" t="str">
        <x:v>超级管理员</x:v>
      </x:c>
      <x:c r="F13" s="24" t="str">
        <x:v>当前客户端</x:v>
      </x:c>
      <x:c r="G13" s="24" t="str">
        <x:v>当前设备/IP</x:v>
      </x:c>
      <x:c r="H13" s="24" t="str">
        <x:v>创建自定义角色</x:v>
      </x:c>
      <x:c r="I13" s="24" t="str">
        <x:v>取消依赖权限、越权勾选各 3 次</x:v>
      </x:c>
      <x:c r="J13" s="24" t="str">
        <x:v>自动依赖项只读并说明原因</x:v>
      </x:c>
      <x:c r="K13" s="24" t="str">
        <x:v>“购买设备”依赖“查看设备、订单与卡券”，系统已自动补充必要权限。</x:v>
      </x:c>
      <x:c r="L13" s="24" t="str">
        <x:v>权限说明</x:v>
      </x:c>
      <x:c r="M13" s="24" t="str">
        <x:v>待实操；期望权限依赖可解释，不生成不可执行角色</x:v>
      </x:c>
      <x:c r="N13" s="24" t="str">
        <x:v>500ms</x:v>
      </x:c>
      <x:c r="O13" s="24" t="str">
        <x:v>角色权限快照、自动依赖项</x:v>
      </x:c>
      <x:c r="P13" s="24" t="str">
        <x:v>调整角色配置</x:v>
      </x:c>
      <x:c r="Q13" s="24" t="str">
        <x:v>待补 TEAM-009</x:v>
      </x:c>
      <x:c r="R13" s="24" t="str"/>
    </x:row>
    <x:row r="14" ht="68" customHeight="1">
      <x:c r="A14" s="25" t="str">
        <x:v>TEAM-010</x:v>
      </x:c>
      <x:c r="B14" s="25" t="str">
        <x:v>团队与权限</x:v>
      </x:c>
      <x:c r="C14" s="25" t="str">
        <x:v>待实操</x:v>
      </x:c>
      <x:c r="D14" s="25" t="str">
        <x:v>P0</x:v>
      </x:c>
      <x:c r="E14" s="24" t="str">
        <x:v>超级管理员</x:v>
      </x:c>
      <x:c r="F14" s="24" t="str">
        <x:v>当前客户端</x:v>
      </x:c>
      <x:c r="G14" s="24" t="str">
        <x:v>当前设备/IP</x:v>
      </x:c>
      <x:c r="H14" s="24" t="str">
        <x:v>角色绑定 100 名成员</x:v>
      </x:c>
      <x:c r="I14" s="24" t="str">
        <x:v>移除关键权限、并发业务操作</x:v>
      </x:c>
      <x:c r="J14" s="24" t="str">
        <x:v>保存前展示影响人数；保存中锁定</x:v>
      </x:c>
      <x:c r="K14" s="24" t="str">
        <x:v>本次变更将使 100 名成员失去“访问店铺”权限，并终止 12 个运行会话。确认立即生效？</x:v>
      </x:c>
      <x:c r="L14" s="24" t="str">
        <x:v>高风险确认弹窗</x:v>
      </x:c>
      <x:c r="M14" s="24" t="str">
        <x:v>待实操；期望权限撤销实时生效，高敏操作中止</x:v>
      </x:c>
      <x:c r="N14" s="24" t="str">
        <x:v>60s</x:v>
      </x:c>
      <x:c r="O14" s="24" t="str">
        <x:v>角色版本、成员数、终止会话；通知成员</x:v>
      </x:c>
      <x:c r="P14" s="24" t="str">
        <x:v>回滚上一角色版本</x:v>
      </x:c>
      <x:c r="Q14" s="24" t="str">
        <x:v>待补 TEAM-010</x:v>
      </x:c>
      <x:c r="R14" s="24" t="str"/>
    </x:row>
    <x:row r="15" ht="68" customHeight="1">
      <x:c r="A15" s="25" t="str">
        <x:v>TEAM-011</x:v>
      </x:c>
      <x:c r="B15" s="25" t="str">
        <x:v>团队与权限</x:v>
      </x:c>
      <x:c r="C15" s="25" t="str">
        <x:v>待实操</x:v>
      </x:c>
      <x:c r="D15" s="25" t="str">
        <x:v>P0</x:v>
      </x:c>
      <x:c r="E15" s="24" t="str">
        <x:v>超级管理员</x:v>
      </x:c>
      <x:c r="F15" s="24" t="str">
        <x:v>当前客户端</x:v>
      </x:c>
      <x:c r="G15" s="24" t="str">
        <x:v>当前设备/IP</x:v>
      </x:c>
      <x:c r="H15" s="24" t="str">
        <x:v>角色仍绑定成员</x:v>
      </x:c>
      <x:c r="I15" s="24" t="str">
        <x:v>删除角色 1 次</x:v>
      </x:c>
      <x:c r="J15" s="24" t="str">
        <x:v>未选替代角色前确认禁用</x:v>
      </x:c>
      <x:c r="K15" s="24" t="str">
        <x:v>该角色仍绑定 {n} 名成员。请选择替代角色后再删除，成员不会自动获得更高权限。</x:v>
      </x:c>
      <x:c r="L15" s="24" t="str">
        <x:v>阻断弹窗</x:v>
      </x:c>
      <x:c r="M15" s="24" t="str">
        <x:v>待实操；期望先迁移后删除，禁止无角色或自动提权</x:v>
      </x:c>
      <x:c r="N15" s="24" t="str">
        <x:v>无</x:v>
      </x:c>
      <x:c r="O15" s="24" t="str">
        <x:v>角色迁移和删除审计</x:v>
      </x:c>
      <x:c r="P15" s="24" t="str">
        <x:v>选择替代角色或取消</x:v>
      </x:c>
      <x:c r="Q15" s="24" t="str">
        <x:v>待补 TEAM-011</x:v>
      </x:c>
      <x:c r="R15" s="24" t="str"/>
    </x:row>
    <x:row r="16" ht="68" customHeight="1">
      <x:c r="A16" s="25" t="str">
        <x:v>TEAM-012</x:v>
      </x:c>
      <x:c r="B16" s="25" t="str">
        <x:v>团队与权限</x:v>
      </x:c>
      <x:c r="C16" s="25" t="str">
        <x:v>待实操</x:v>
      </x:c>
      <x:c r="D16" s="25" t="str">
        <x:v>P0</x:v>
      </x:c>
      <x:c r="E16" s="24" t="str">
        <x:v>管理员</x:v>
      </x:c>
      <x:c r="F16" s="24" t="str">
        <x:v>当前客户端</x:v>
      </x:c>
      <x:c r="G16" s="24" t="str">
        <x:v>当前设备/IP</x:v>
      </x:c>
      <x:c r="H16" s="24" t="str">
        <x:v>尝试编辑同级、上级或团队创建者</x:v>
      </x:c>
      <x:c r="I16" s="24" t="str">
        <x:v>每类 3 次；直达接口 3 次</x:v>
      </x:c>
      <x:c r="J16" s="24" t="str">
        <x:v>入口隐藏；直达返回 403</x:v>
      </x:c>
      <x:c r="K16" s="24" t="str">
        <x:v>你只能管理低于本人层级的成员，无法修改同级、上级或团队创建者。</x:v>
      </x:c>
      <x:c r="L16" s="24" t="str">
        <x:v>403/权限弹窗</x:v>
      </x:c>
      <x:c r="M16" s="24" t="str">
        <x:v>待实操；期望前后端一致阻断越权</x:v>
      </x:c>
      <x:c r="N16" s="24" t="str">
        <x:v>无</x:v>
      </x:c>
      <x:c r="O16" s="24" t="str">
        <x:v>越权目标、操作者、来源；高频告警</x:v>
      </x:c>
      <x:c r="P16" s="24" t="str">
        <x:v>由更高角色处理</x:v>
      </x:c>
      <x:c r="Q16" s="24" t="str">
        <x:v>待补 TEAM-012</x:v>
      </x:c>
      <x:c r="R16" s="24" t="str"/>
    </x:row>
    <x:row r="17" ht="68" customHeight="1">
      <x:c r="A17" s="25" t="str">
        <x:v>TEAM-013</x:v>
      </x:c>
      <x:c r="B17" s="25" t="str">
        <x:v>团队与权限</x:v>
      </x:c>
      <x:c r="C17" s="25" t="str">
        <x:v>待实操</x:v>
      </x:c>
      <x:c r="D17" s="25" t="str">
        <x:v>P0</x:v>
      </x:c>
      <x:c r="E17" s="24" t="str">
        <x:v>普通成员</x:v>
      </x:c>
      <x:c r="F17" s="24" t="str">
        <x:v>当前客户端</x:v>
      </x:c>
      <x:c r="G17" s="24" t="str">
        <x:v>店铺设备/IP</x:v>
      </x:c>
      <x:c r="H17" s="24" t="str">
        <x:v>有功能权但缺店铺、附加账号或 OTP 授权</x:v>
      </x:c>
      <x:c r="I17" s="24" t="str">
        <x:v>各访问 3 次</x:v>
      </x:c>
      <x:c r="J17" s="24" t="str">
        <x:v>无权对象不可选；代填禁用</x:v>
      </x:c>
      <x:c r="K17" s="24" t="str">
        <x:v>你拥有该功能权限，但未获得当前店铺或凭证对象授权，请联系管理员。</x:v>
      </x:c>
      <x:c r="L17" s="24" t="str">
        <x:v>权限弹窗</x:v>
      </x:c>
      <x:c r="M17" s="24" t="str">
        <x:v>待实操；期望最终权限为角色、部门、对象和凭证授权交集</x:v>
      </x:c>
      <x:c r="N17" s="24" t="str">
        <x:v>权限缓存最长 30s</x:v>
      </x:c>
      <x:c r="O17" s="24" t="str">
        <x:v>各层判定与拒绝原因</x:v>
      </x:c>
      <x:c r="P17" s="24" t="str">
        <x:v>管理员补齐授权</x:v>
      </x:c>
      <x:c r="Q17" s="24" t="str">
        <x:v>待补 TEAM-013</x:v>
      </x:c>
      <x:c r="R17" s="24" t="str"/>
    </x:row>
    <x:row r="18" ht="68" customHeight="1">
      <x:c r="A18" s="25" t="str">
        <x:v>TEAM-014</x:v>
      </x:c>
      <x:c r="B18" s="25" t="str">
        <x:v>团队与权限</x:v>
      </x:c>
      <x:c r="C18" s="25" t="str">
        <x:v>待实操</x:v>
      </x:c>
      <x:c r="D18" s="25" t="str">
        <x:v>P0</x:v>
      </x:c>
      <x:c r="E18" s="24" t="str">
        <x:v>受限成员/审批人</x:v>
      </x:c>
      <x:c r="F18" s="24" t="str">
        <x:v>当前客户端</x:v>
      </x:c>
      <x:c r="G18" s="24" t="str">
        <x:v>新终端/异地 IP/受限时段</x:v>
      </x:c>
      <x:c r="H18" s="24" t="str">
        <x:v>命中登录限制</x:v>
      </x:c>
      <x:c r="I18" s="24" t="str">
        <x:v>重复申请 5 次、2 人同时审核</x:v>
      </x:c>
      <x:c r="J18" s="24" t="str">
        <x:v>申请中禁用；一个审核后其他按钮失效</x:v>
      </x:c>
      <x:c r="K18" s="24" t="str">
        <x:v>本次登录需要审核。申请有效期 30 分钟；拒绝后需等待 5 分钟才能重新提交。</x:v>
      </x:c>
      <x:c r="L18" s="24" t="str">
        <x:v>审批弹窗</x:v>
      </x:c>
      <x:c r="M18" s="24" t="str">
        <x:v>待实操；期望单申请只有一个最终结果，临时通过不永久改策略</x:v>
      </x:c>
      <x:c r="N18" s="24" t="str">
        <x:v>重提 5分钟；30分钟过期</x:v>
      </x:c>
      <x:c r="O18" s="24" t="str">
        <x:v>登录条件、理由、审批人；站内信和短信</x:v>
      </x:c>
      <x:c r="P18" s="24" t="str">
        <x:v>重新申请、修改限制或换合规环境</x:v>
      </x:c>
      <x:c r="Q18" s="24" t="str">
        <x:v>待补 TEAM-014</x:v>
      </x:c>
      <x:c r="R18" s="24" t="str"/>
    </x:row>
    <x:row r="19" ht="68" customHeight="1">
      <x:c r="A19" s="25" t="str">
        <x:v>SEC-001</x:v>
      </x:c>
      <x:c r="B19" s="25" t="str">
        <x:v>安全与监控</x:v>
      </x:c>
      <x:c r="C19" s="25" t="str">
        <x:v>待实操</x:v>
      </x:c>
      <x:c r="D19" s="25" t="str">
        <x:v>P0</x:v>
      </x:c>
      <x:c r="E19" s="24" t="str">
        <x:v>两名安全管理员</x:v>
      </x:c>
      <x:c r="F19" s="24" t="str">
        <x:v>当前客户端</x:v>
      </x:c>
      <x:c r="G19" s="24" t="str">
        <x:v>两台设备/IP</x:v>
      </x:c>
      <x:c r="H19" s="24" t="str">
        <x:v>同时编辑同一策略</x:v>
      </x:c>
      <x:c r="I19" s="24" t="str">
        <x:v>并发保存 2</x:v>
      </x:c>
      <x:c r="J19" s="24" t="str">
        <x:v>后保存者变为重新加载</x:v>
      </x:c>
      <x:c r="K19" s="24" t="str">
        <x:v>策略已由其他管理员更新。为避免覆盖，请重新加载最新版本后再保存。</x:v>
      </x:c>
      <x:c r="L19" s="24" t="str">
        <x:v>冲突弹窗</x:v>
      </x:c>
      <x:c r="M19" s="24" t="str">
        <x:v>待实操；期望乐观锁阻止静默覆盖</x:v>
      </x:c>
      <x:c r="N19" s="24" t="str">
        <x:v>1s</x:v>
      </x:c>
      <x:c r="O19" s="24" t="str">
        <x:v>策略版本、差异、操作者</x:v>
      </x:c>
      <x:c r="P19" s="24" t="str">
        <x:v>重载、合并后保存</x:v>
      </x:c>
      <x:c r="Q19" s="24" t="str">
        <x:v>待补 SEC-001</x:v>
      </x:c>
      <x:c r="R19" s="24" t="str"/>
    </x:row>
    <x:row r="20" ht="68" customHeight="1">
      <x:c r="A20" s="25" t="str">
        <x:v>SEC-002</x:v>
      </x:c>
      <x:c r="B20" s="25" t="str">
        <x:v>安全与监控</x:v>
      </x:c>
      <x:c r="C20" s="25" t="str">
        <x:v>待实操</x:v>
      </x:c>
      <x:c r="D20" s="25" t="str">
        <x:v>P0</x:v>
      </x:c>
      <x:c r="E20" s="24" t="str">
        <x:v>受控成员</x:v>
      </x:c>
      <x:c r="F20" s="24" t="str">
        <x:v>当前客户端</x:v>
      </x:c>
      <x:c r="G20" s="24" t="str">
        <x:v>店铺设备/IP</x:v>
      </x:c>
      <x:c r="H20" s="24" t="str">
        <x:v>禁止看密码、F12、打印策略开启</x:v>
      </x:c>
      <x:c r="I20" s="24" t="str">
        <x:v>快捷键、菜单、打印 PDF 各 5 次</x:v>
      </x:c>
      <x:c r="J20" s="24" t="str">
        <x:v>受控入口不可用且不短暂闪现</x:v>
      </x:c>
      <x:c r="K20" s="24" t="str">
        <x:v>团队安全策略已禁止查看密码、开发者工具或打印。如需使用，请联系管理员。</x:v>
      </x:c>
      <x:c r="L20" s="24" t="str">
        <x:v>策略提示</x:v>
      </x:c>
      <x:c r="M20" s="24" t="str">
        <x:v>待实操；期望多入口一致执行，不宣称能防拍屏等物理旁路</x:v>
      </x:c>
      <x:c r="N20" s="24" t="str">
        <x:v>同类提示 30s 一次</x:v>
      </x:c>
      <x:c r="O20" s="24" t="str">
        <x:v>策略命中、入口、店铺、成员</x:v>
      </x:c>
      <x:c r="P20" s="24" t="str">
        <x:v>管理员调整策略</x:v>
      </x:c>
      <x:c r="Q20" s="24" t="str">
        <x:v>待补 SEC-002</x:v>
      </x:c>
      <x:c r="R20" s="24" t="str"/>
    </x:row>
    <x:row r="21" ht="68" customHeight="1">
      <x:c r="A21" s="25" t="str">
        <x:v>SEC-003</x:v>
      </x:c>
      <x:c r="B21" s="25" t="str">
        <x:v>安全与监控</x:v>
      </x:c>
      <x:c r="C21" s="25" t="str">
        <x:v>待实操</x:v>
      </x:c>
      <x:c r="D21" s="25" t="str">
        <x:v>P1</x:v>
      </x:c>
      <x:c r="E21" s="24" t="str">
        <x:v>安全管理员</x:v>
      </x:c>
      <x:c r="F21" s="24" t="str">
        <x:v>当前客户端</x:v>
      </x:c>
      <x:c r="G21" s="24" t="str">
        <x:v>当前设备/IP</x:v>
      </x:c>
      <x:c r="H21" s="24" t="str">
        <x:v>成员未绑手机或自定义水印过长</x:v>
      </x:c>
      <x:c r="I21" s="24" t="str">
        <x:v>每类 3 次</x:v>
      </x:c>
      <x:c r="J21" s="24" t="str">
        <x:v>无有效水印内容时保存禁用</x:v>
      </x:c>
      <x:c r="K21" s="24" t="str">
        <x:v>部分成员未绑定手机号码，手机号后 6 位将显示为“未绑定”。自定义水印最多 30 个字符。</x:v>
      </x:c>
      <x:c r="L21" s="24" t="str">
        <x:v>配置提示</x:v>
      </x:c>
      <x:c r="M21" s="24" t="str">
        <x:v>待实操；期望预览和实际一致，不泄露完整号码</x:v>
      </x:c>
      <x:c r="N21" s="24" t="str">
        <x:v>500ms</x:v>
      </x:c>
      <x:c r="O21" s="24" t="str">
        <x:v>水印模板版本、适用范围</x:v>
      </x:c>
      <x:c r="P21" s="24" t="str">
        <x:v>修改内容或补绑手机</x:v>
      </x:c>
      <x:c r="Q21" s="24" t="str">
        <x:v>待补 SEC-003</x:v>
      </x:c>
      <x:c r="R21" s="24" t="str"/>
    </x:row>
    <x:row r="22" ht="68" customHeight="1">
      <x:c r="A22" s="25" t="str">
        <x:v>SEC-004</x:v>
      </x:c>
      <x:c r="B22" s="25" t="str">
        <x:v>安全与监控</x:v>
      </x:c>
      <x:c r="C22" s="25" t="str">
        <x:v>待实操</x:v>
      </x:c>
      <x:c r="D22" s="25" t="str">
        <x:v>P0</x:v>
      </x:c>
      <x:c r="E22" s="24" t="str">
        <x:v>受控成员</x:v>
      </x:c>
      <x:c r="F22" s="24" t="str">
        <x:v>当前客户端</x:v>
      </x:c>
      <x:c r="G22" s="24" t="str">
        <x:v>店铺设备/IP</x:v>
      </x:c>
      <x:c r="H22" s="24" t="str">
        <x:v>命中 URL 黑名单</x:v>
      </x:c>
      <x:c r="I22" s="24" t="str">
        <x:v>直接 URL、重定向、新窗口各 3 次</x:v>
      </x:c>
      <x:c r="J22" s="24" t="str">
        <x:v>页面不加载业务内容，只显示返回</x:v>
      </x:c>
      <x:c r="K22" s="24" t="str">
        <x:v>暂无此网页访问权限。策略：{策略名称}。如有业务需要，请联系团队管理员。</x:v>
      </x:c>
      <x:c r="L22" s="24" t="str">
        <x:v>拦截页</x:v>
      </x:c>
      <x:c r="M22" s="24" t="str">
        <x:v>待实操；期望请求前阻断，不先渲染敏感页面</x:v>
      </x:c>
      <x:c r="N22" s="24" t="str">
        <x:v>同 URL 提示 10s</x:v>
      </x:c>
      <x:c r="O22" s="24" t="str">
        <x:v>URL 脱敏、策略 ID、店铺、成员</x:v>
      </x:c>
      <x:c r="P22" s="24" t="str">
        <x:v>返回允许页面或申请调整</x:v>
      </x:c>
      <x:c r="Q22" s="24" t="str">
        <x:v>待补 SEC-004</x:v>
      </x:c>
      <x:c r="R22" s="24" t="str"/>
    </x:row>
    <x:row r="23" ht="68" customHeight="1">
      <x:c r="A23" s="25" t="str">
        <x:v>SEC-005</x:v>
      </x:c>
      <x:c r="B23" s="25" t="str">
        <x:v>安全与监控</x:v>
      </x:c>
      <x:c r="C23" s="25" t="str">
        <x:v>待实操</x:v>
      </x:c>
      <x:c r="D23" s="25" t="str">
        <x:v>P0</x:v>
      </x:c>
      <x:c r="E23" s="24" t="str">
        <x:v>安全管理员/成员</x:v>
      </x:c>
      <x:c r="F23" s="24" t="str">
        <x:v>当前客户端</x:v>
      </x:c>
      <x:c r="G23" s="24" t="str">
        <x:v>店铺设备/IP</x:v>
      </x:c>
      <x:c r="H23" s="24" t="str">
        <x:v>页面元素策略遇第三方 DOM/语言变化</x:v>
      </x:c>
      <x:c r="I23" s="24" t="str">
        <x:v>3 种页面版本各测</x:v>
      </x:c>
      <x:c r="J23" s="24" t="str">
        <x:v>规则失效时敏感操作默认禁用</x:v>
      </x:c>
      <x:c r="K23" s="24" t="str">
        <x:v>安全规则与当前页面版本不匹配，相关敏感操作已暂时禁用。管理员已收到告警。</x:v>
      </x:c>
      <x:c r="L23" s="24" t="str">
        <x:v>安全降级弹窗</x:v>
      </x:c>
      <x:c r="M23" s="24" t="str">
        <x:v>待实操；期望检测选择器失效，不能静默放行</x:v>
      </x:c>
      <x:c r="N23" s="24" t="str">
        <x:v>同规则告警 1小时一次</x:v>
      </x:c>
      <x:c r="O23" s="24" t="str">
        <x:v>模板版本、DOM 指纹、失效元素；安全通知</x:v>
      </x:c>
      <x:c r="P23" s="24" t="str">
        <x:v>更新模板并人工验证</x:v>
      </x:c>
      <x:c r="Q23" s="24" t="str">
        <x:v>待补 SEC-005</x:v>
      </x:c>
      <x:c r="R23" s="24" t="str"/>
    </x:row>
    <x:row r="24" ht="68" customHeight="1">
      <x:c r="A24" s="25" t="str">
        <x:v>SEC-006</x:v>
      </x:c>
      <x:c r="B24" s="25" t="str">
        <x:v>安全与监控</x:v>
      </x:c>
      <x:c r="C24" s="25" t="str">
        <x:v>待实操</x:v>
      </x:c>
      <x:c r="D24" s="25" t="str">
        <x:v>P0</x:v>
      </x:c>
      <x:c r="E24" s="24" t="str">
        <x:v>安全管理员</x:v>
      </x:c>
      <x:c r="F24" s="24" t="str">
        <x:v>当前客户端</x:v>
      </x:c>
      <x:c r="G24" s="24" t="str">
        <x:v>店铺设备/IP</x:v>
      </x:c>
      <x:c r="H24" s="24" t="str">
        <x:v>多策略覆盖同一对象</x:v>
      </x:c>
      <x:c r="I24" s="24" t="str">
        <x:v>3 条冲突策略命中</x:v>
      </x:c>
      <x:c r="J24" s="24" t="str">
        <x:v>保存时展示冲突；运行时更严格优先</x:v>
      </x:c>
      <x:c r="K24" s="24" t="str">
        <x:v>检测到策略冲突：“允许访问”与“禁止访问”同时命中，系统将按禁止优先执行。</x:v>
      </x:c>
      <x:c r="L24" s="24" t="str">
        <x:v>冲突提示</x:v>
      </x:c>
      <x:c r="M24" s="24" t="str">
        <x:v>待实操；期望优先级可解释且结果确定</x:v>
      </x:c>
      <x:c r="N24" s="24" t="str">
        <x:v>500ms</x:v>
      </x:c>
      <x:c r="O24" s="24" t="str">
        <x:v>命中策略链和最终决策</x:v>
      </x:c>
      <x:c r="P24" s="24" t="str">
        <x:v>调整范围或停用冲突策略</x:v>
      </x:c>
      <x:c r="Q24" s="24" t="str">
        <x:v>待补 SEC-006</x:v>
      </x:c>
      <x:c r="R24" s="24" t="str"/>
    </x:row>
    <x:row r="25" ht="68" customHeight="1">
      <x:c r="A25" s="25" t="str">
        <x:v>SEC-007</x:v>
      </x:c>
      <x:c r="B25" s="25" t="str">
        <x:v>安全与监控</x:v>
      </x:c>
      <x:c r="C25" s="25" t="str">
        <x:v>待实操</x:v>
      </x:c>
      <x:c r="D25" s="25" t="str">
        <x:v>P0</x:v>
      </x:c>
      <x:c r="E25" s="24" t="str">
        <x:v>监控管理员</x:v>
      </x:c>
      <x:c r="F25" s="24" t="str">
        <x:v>当前客户端</x:v>
      </x:c>
      <x:c r="G25" s="24" t="str">
        <x:v>多店铺设备/IP</x:v>
      </x:c>
      <x:c r="H25" s="24" t="str">
        <x:v>批量选择店铺和成员</x:v>
      </x:c>
      <x:c r="I25" s="24" t="str">
        <x:v>1000 店铺、多人并发开启</x:v>
      </x:c>
      <x:c r="J25" s="24" t="str">
        <x:v>计算容量和权限前提交禁用</x:v>
      </x:c>
      <x:c r="K25" s="24" t="str">
        <x:v>将为 {n} 家有权限店铺开启监控；{m} 家无配置权限已排除。预计新增存储约 {x} GB/月。确认开启？</x:v>
      </x:c>
      <x:c r="L25" s="24" t="str">
        <x:v>高风险确认弹窗</x:v>
      </x:c>
      <x:c r="M25" s="24" t="str">
        <x:v>待实操；期望只对有权对象生效，容量风险前置</x:v>
      </x:c>
      <x:c r="N25" s="24" t="str">
        <x:v>批量任务 60s 内不可重复</x:v>
      </x:c>
      <x:c r="O25" s="24" t="str">
        <x:v>配置批次、对象数、排除原因；通知成员</x:v>
      </x:c>
      <x:c r="P25" s="24" t="str">
        <x:v>取消任务或批量关闭</x:v>
      </x:c>
      <x:c r="Q25" s="24" t="str">
        <x:v>待补 SEC-007</x:v>
      </x:c>
      <x:c r="R25" s="24" t="str"/>
    </x:row>
    <x:row r="26" ht="68" customHeight="1">
      <x:c r="A26" s="25" t="str">
        <x:v>SEC-008</x:v>
      </x:c>
      <x:c r="B26" s="25" t="str">
        <x:v>安全与监控</x:v>
      </x:c>
      <x:c r="C26" s="25" t="str">
        <x:v>待实操</x:v>
      </x:c>
      <x:c r="D26" s="25" t="str">
        <x:v>P0</x:v>
      </x:c>
      <x:c r="E26" s="24" t="str">
        <x:v>受监控成员/管理员</x:v>
      </x:c>
      <x:c r="F26" s="24" t="str">
        <x:v>当前客户端</x:v>
      </x:c>
      <x:c r="G26" s="24" t="str">
        <x:v>断网/崩溃设备/IP</x:v>
      </x:c>
      <x:c r="H26" s="24" t="str">
        <x:v>录像上传中断</x:v>
      </x:c>
      <x:c r="I26" s="24" t="str">
        <x:v>上传失败、客户端崩溃、断网各 3 次</x:v>
      </x:c>
      <x:c r="J26" s="24" t="str">
        <x:v>状态显示记录异常，不可伪装正常</x:v>
      </x:c>
      <x:c r="K26" s="24" t="str">
        <x:v>监控录像中断：网络上传失败，缺失时段为 HH:mm-HH:mm。请检查客户端网络。</x:v>
      </x:c>
      <x:c r="L26" s="24" t="str">
        <x:v>监控告警</x:v>
      </x:c>
      <x:c r="M26" s="24" t="str">
        <x:v>待实操；期望缺口明确标记，不生成完整性假象</x:v>
      </x:c>
      <x:c r="N26" s="24" t="str">
        <x:v>自动重试 1/3/10分钟</x:v>
      </x:c>
      <x:c r="O26" s="24" t="str">
        <x:v>心跳、分片、缺失区间；安全告警</x:v>
      </x:c>
      <x:c r="P26" s="24" t="str">
        <x:v>网络恢复后续传；缺失片段不可恢复</x:v>
      </x:c>
      <x:c r="Q26" s="24" t="str">
        <x:v>待补 SEC-008</x:v>
      </x:c>
      <x:c r="R26" s="24" t="str"/>
    </x:row>
    <x:row r="27" ht="68" customHeight="1">
      <x:c r="A27" s="25" t="str">
        <x:v>SEC-009</x:v>
      </x:c>
      <x:c r="B27" s="25" t="str">
        <x:v>安全与监控</x:v>
      </x:c>
      <x:c r="C27" s="25" t="str">
        <x:v>待实操</x:v>
      </x:c>
      <x:c r="D27" s="25" t="str">
        <x:v>P0</x:v>
      </x:c>
      <x:c r="E27" s="24" t="str">
        <x:v>安全管理员</x:v>
      </x:c>
      <x:c r="F27" s="24" t="str">
        <x:v>当前客户端</x:v>
      </x:c>
      <x:c r="G27" s="24" t="str">
        <x:v>店铺设备/IP</x:v>
      </x:c>
      <x:c r="H27" s="24" t="str">
        <x:v>监控运行中或已有录像</x:v>
      </x:c>
      <x:c r="I27" s="24" t="str">
        <x:v>关闭、删除配置各 1 次</x:v>
      </x:c>
      <x:c r="J27" s="24" t="str">
        <x:v>二次确认；执行中禁用</x:v>
      </x:c>
      <x:c r="K27" s="24" t="str">
        <x:v>关闭监控将停止生成新录像，但不会删除保留期内的历史录像。删除配置后仍可按原权限查看历史记录。</x:v>
      </x:c>
      <x:c r="L27" s="24" t="str">
        <x:v>高风险确认弹窗</x:v>
      </x:c>
      <x:c r="M27" s="24" t="str">
        <x:v>待实操；期望配置生命周期与录像生命周期分离</x:v>
      </x:c>
      <x:c r="N27" s="24" t="str">
        <x:v>60s</x:v>
      </x:c>
      <x:c r="O27" s="24" t="str">
        <x:v>开关、删除、停止时间；通知管理员</x:v>
      </x:c>
      <x:c r="P27" s="24" t="str">
        <x:v>重新开启；历史录像按规则查看</x:v>
      </x:c>
      <x:c r="Q27" s="24" t="str">
        <x:v>待补 SEC-009</x:v>
      </x:c>
      <x:c r="R27" s="24" t="str"/>
    </x:row>
    <x:row r="28" ht="68" customHeight="1">
      <x:c r="A28" s="25" t="str">
        <x:v>SEC-010</x:v>
      </x:c>
      <x:c r="B28" s="25" t="str">
        <x:v>安全与监控</x:v>
      </x:c>
      <x:c r="C28" s="25" t="str">
        <x:v>待实操</x:v>
      </x:c>
      <x:c r="D28" s="25" t="str">
        <x:v>P0</x:v>
      </x:c>
      <x:c r="E28" s="24" t="str">
        <x:v>管理员/审计员</x:v>
      </x:c>
      <x:c r="F28" s="24" t="str">
        <x:v>当前客户端</x:v>
      </x:c>
      <x:c r="G28" s="24" t="str">
        <x:v>当前设备/IP</x:v>
      </x:c>
      <x:c r="H28" s="24" t="str">
        <x:v>查看日志和录像</x:v>
      </x:c>
      <x:c r="I28" s="24" t="str">
        <x:v>无权访问、导出、30天边界各 3 次</x:v>
      </x:c>
      <x:c r="J28" s="24" t="str">
        <x:v>无权入口隐藏；导出二次确认</x:v>
      </x:c>
      <x:c r="K28" s="24" t="str">
        <x:v>你没有查看全团队监控日志的权限。导出内容包含成员操作信息，将添加下载者水印并记录审计日志。</x:v>
      </x:c>
      <x:c r="L28" s="24" t="str">
        <x:v>权限/导出弹窗</x:v>
      </x:c>
      <x:c r="M28" s="24" t="str">
        <x:v>待实操；期望登录、操作、访问、录像分别授权，过期删除可证明</x:v>
      </x:c>
      <x:c r="N28" s="24" t="str">
        <x:v>导出 10分钟一次</x:v>
      </x:c>
      <x:c r="O28" s="24" t="str">
        <x:v>查询、播放、导出、删除证明、操作者</x:v>
      </x:c>
      <x:c r="P28" s="24" t="str">
        <x:v>申请权限；过期数据不可恢复时明确提示</x:v>
      </x:c>
      <x:c r="Q28" s="24" t="str">
        <x:v>待补 SEC-010</x:v>
      </x:c>
      <x:c r="R28" s="24" t="str"/>
    </x:row>
    <x:row r="29" ht="68" customHeight="1">
      <x:c r="A29" s="25" t="str">
        <x:v>SEC-011</x:v>
      </x:c>
      <x:c r="B29" s="25" t="str">
        <x:v>安全与监控</x:v>
      </x:c>
      <x:c r="C29" s="25" t="str">
        <x:v>待实操</x:v>
      </x:c>
      <x:c r="D29" s="25" t="str">
        <x:v>P0</x:v>
      </x:c>
      <x:c r="E29" s="24" t="str">
        <x:v>店铺所有者/客服技术人员</x:v>
      </x:c>
      <x:c r="F29" s="24" t="str">
        <x:v>当前客户端</x:v>
      </x:c>
      <x:c r="G29" s="24" t="str">
        <x:v>店铺设备/IP</x:v>
      </x:c>
      <x:c r="H29" s="24" t="str">
        <x:v>为排障临时授权店铺</x:v>
      </x:c>
      <x:c r="I29" s="24" t="str">
        <x:v>提交、续期、提前撤销各 2 次</x:v>
      </x:c>
      <x:c r="J29" s="24" t="str">
        <x:v>未选范围/时长时禁用；撤销即时可用</x:v>
      </x:c>
      <x:c r="K29" s="24" t="str">
        <x:v>技术人员可能进入所选店铺环境并接触登录态。授权仅限“{店铺}”，有效 {n} 小时，禁止修改密码、手机号码和支付信息。确认授权？</x:v>
      </x:c>
      <x:c r="L29" s="24" t="str">
        <x:v>高风险确认弹窗</x:v>
      </x:c>
      <x:c r="M29" s="24" t="str">
        <x:v>待实操；期望最小范围、最短时长、动作限制和全程留痕</x:v>
      </x:c>
      <x:c r="N29" s="24" t="str">
        <x:v>撤销后同店铺 5分钟内不可重授权</x:v>
      </x:c>
      <x:c r="O29" s="24" t="str">
        <x:v>授权人、技术人员、动作、录像、到期；双方通知</x:v>
      </x:c>
      <x:c r="P29" s="24" t="str">
        <x:v>可提前撤销；异常立即终止</x:v>
      </x:c>
      <x:c r="Q29" s="24" t="str">
        <x:v>待补 SEC-011</x:v>
      </x:c>
      <x:c r="R29" s="24" t="str"/>
    </x:row>
  </x:sheetData>
  <x:mergeCells>
    <x:mergeCell ref="A1:R1"/>
    <x:mergeCell ref="A2:R2"/>
  </x:mergeCells>
  <x:conditionalFormatting sqref="C5:C29">
    <x:cfRule type="containsText" dxfId="18" priority="1" operator="containsText" text="已实操"/>
    <x:cfRule type="containsText" dxfId="19" priority="2" operator="containsText" text="待实操"/>
    <x:cfRule type="containsText" dxfId="20" priority="3" operator="containsText" text="部分实操"/>
  </x:conditionalFormatting>
  <x:conditionalFormatting sqref="D5:D29">
    <x:cfRule type="containsText" dxfId="21" priority="4" operator="containsText" text="P0"/>
    <x:cfRule type="containsText" dxfId="22" priority="5" operator="containsText" text="P1"/>
    <x:cfRule type="containsText" dxfId="23" priority="6" operator="containsText" text="P2"/>
  </x:conditionalFormatting>
  <x:dataValidations count="2">
    <x:dataValidation type="list" sqref="C5:C29">
      <x:formula1>"待实操,部分实操,已实操,已实操，重点"</x:formula1>
    </x:dataValidation>
    <x:dataValidation type="list" sqref="D5:D29">
      <x:formula1>"P0,P1,P2"</x:formula1>
    </x:dataValidation>
  </x:dataValidations>
  <x:pageMargins left="0.7" right="0.7" top="0.75" bottom="0.75" header="0.3" footer="0.3"/>
  <x:tableParts count="1">
    <x:tablePart xmlns:r="http://schemas.openxmlformats.org/officeDocument/2006/relationships" r:id="R0072f04fb00f40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费用与插件异常场景</x:v>
      </x:c>
      <x:c r="B1" s="3"/>
      <x:c r="C1" s="3"/>
      <x:c r="D1" s="3"/>
      <x:c r="E1" s="3"/>
      <x:c r="F1" s="3"/>
      <x:c r="G1" s="3"/>
      <x:c r="H1" s="3"/>
      <x:c r="I1" s="3"/>
      <x:c r="J1" s="3"/>
      <x:c r="K1" s="3"/>
      <x:c r="L1" s="3"/>
      <x:c r="M1" s="3"/>
      <x:c r="N1" s="3"/>
      <x:c r="O1" s="3"/>
      <x:c r="P1" s="3"/>
      <x:c r="Q1" s="3"/>
      <x:c r="R1" s="3"/>
    </x:row>
    <x:row r="2" ht="34" customHeight="1">
      <x:c r="A2" s="7" t="str">
        <x:v>订单、支付、余额、优惠券、发票、续费、插件与浏览器工具，共 29 条待实操场景。</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FIN-001</x:v>
      </x:c>
      <x:c r="B5" s="25" t="str">
        <x:v>费用与支付</x:v>
      </x:c>
      <x:c r="C5" s="25" t="str">
        <x:v>待实操</x:v>
      </x:c>
      <x:c r="D5" s="25" t="str">
        <x:v>P0</x:v>
      </x:c>
      <x:c r="E5" s="24" t="str">
        <x:v>设备购买者</x:v>
      </x:c>
      <x:c r="F5" s="24" t="str">
        <x:v>当前 Windows/macOS 客户端</x:v>
      </x:c>
      <x:c r="G5" s="24" t="str">
        <x:v>平台设备/IP</x:v>
      </x:c>
      <x:c r="H5" s="24" t="str">
        <x:v>商品有货、协议已勾选</x:v>
      </x:c>
      <x:c r="I5" s="24" t="str">
        <x:v>1秒内点击购买 3 次</x:v>
      </x:c>
      <x:c r="J5" s="24" t="str">
        <x:v>首次后 Loading 并禁用</x:v>
      </x:c>
      <x:c r="K5" s="24" t="str">
        <x:v>订单正在创建，请勿重复提交。</x:v>
      </x:c>
      <x:c r="L5" s="24" t="str">
        <x:v>顶部 Toast</x:v>
      </x:c>
      <x:c r="M5" s="24" t="str">
        <x:v>待实操；期望只生成 1 个订单、只锁定 1 份库存</x:v>
      </x:c>
      <x:c r="N5" s="24" t="str">
        <x:v>请求结束或 10s</x:v>
      </x:c>
      <x:c r="O5" s="24" t="str">
        <x:v>requestId、2 次去重；无短信</x:v>
      </x:c>
      <x:c r="P5" s="24" t="str">
        <x:v>可进入唯一订单</x:v>
      </x:c>
      <x:c r="Q5" s="24" t="str">
        <x:v>待补 FIN-001</x:v>
      </x:c>
      <x:c r="R5" s="24" t="str"/>
    </x:row>
    <x:row r="6" ht="68" customHeight="1">
      <x:c r="A6" s="25" t="str">
        <x:v>FIN-002</x:v>
      </x:c>
      <x:c r="B6" s="25" t="str">
        <x:v>费用与支付</x:v>
      </x:c>
      <x:c r="C6" s="25" t="str">
        <x:v>待实操</x:v>
      </x:c>
      <x:c r="D6" s="25" t="str">
        <x:v>P0</x:v>
      </x:c>
      <x:c r="E6" s="24" t="str">
        <x:v>设备购买者</x:v>
      </x:c>
      <x:c r="F6" s="24" t="str">
        <x:v>当前客户端</x:v>
      </x:c>
      <x:c r="G6" s="24" t="str">
        <x:v>平台设备/IP</x:v>
      </x:c>
      <x:c r="H6" s="24" t="str">
        <x:v>提交前价格或库存变化</x:v>
      </x:c>
      <x:c r="I6" s="24" t="str">
        <x:v>单次提交</x:v>
      </x:c>
      <x:c r="J6" s="24" t="str">
        <x:v>购买禁用，刷新后恢复</x:v>
      </x:c>
      <x:c r="K6" s="24" t="str">
        <x:v>商品价格或库存已更新，请确认最新信息后重新提交。</x:v>
      </x:c>
      <x:c r="L6" s="24" t="str">
        <x:v>阻断弹窗</x:v>
      </x:c>
      <x:c r="M6" s="24" t="str">
        <x:v>待实操；期望不创建旧价格订单、不扣款</x:v>
      </x:c>
      <x:c r="N6" s="24" t="str">
        <x:v>刷新后立即</x:v>
      </x:c>
      <x:c r="O6" s="24" t="str">
        <x:v>旧值、新值、SKU</x:v>
      </x:c>
      <x:c r="P6" s="24" t="str">
        <x:v>确认新信息后重提</x:v>
      </x:c>
      <x:c r="Q6" s="24" t="str">
        <x:v>待补 FIN-002</x:v>
      </x:c>
      <x:c r="R6" s="24" t="str"/>
    </x:row>
    <x:row r="7" ht="68" customHeight="1">
      <x:c r="A7" s="25" t="str">
        <x:v>FIN-003</x:v>
      </x:c>
      <x:c r="B7" s="25" t="str">
        <x:v>费用与支付</x:v>
      </x:c>
      <x:c r="C7" s="25" t="str">
        <x:v>待实操</x:v>
      </x:c>
      <x:c r="D7" s="25" t="str">
        <x:v>P1</x:v>
      </x:c>
      <x:c r="E7" s="24" t="str">
        <x:v>设备购买者</x:v>
      </x:c>
      <x:c r="F7" s="24" t="str">
        <x:v>当前客户端</x:v>
      </x:c>
      <x:c r="G7" s="24" t="str">
        <x:v>当前终端/IP</x:v>
      </x:c>
      <x:c r="H7" s="24" t="str">
        <x:v>微信/支付宝二维码已生成</x:v>
      </x:c>
      <x:c r="I7" s="24" t="str">
        <x:v>等待过期后支付</x:v>
      </x:c>
      <x:c r="J7" s="24" t="str">
        <x:v>按钮改为刷新二维码</x:v>
      </x:c>
      <x:c r="K7" s="24" t="str">
        <x:v>支付二维码已过期，请刷新后重新支付。</x:v>
      </x:c>
      <x:c r="L7" s="24" t="str">
        <x:v>支付区提示</x:v>
      </x:c>
      <x:c r="M7" s="24" t="str">
        <x:v>待实操；期望原订单保持待支付，不重复建单</x:v>
      </x:c>
      <x:c r="N7" s="24" t="str">
        <x:v>刷新 2s 防抖</x:v>
      </x:c>
      <x:c r="O7" s="24" t="str">
        <x:v>二维码过期；无短信</x:v>
      </x:c>
      <x:c r="P7" s="24" t="str">
        <x:v>刷新二维码</x:v>
      </x:c>
      <x:c r="Q7" s="24" t="str">
        <x:v>待补 FIN-003</x:v>
      </x:c>
      <x:c r="R7" s="24" t="str"/>
    </x:row>
    <x:row r="8" ht="68" customHeight="1">
      <x:c r="A8" s="25" t="str">
        <x:v>FIN-004</x:v>
      </x:c>
      <x:c r="B8" s="25" t="str">
        <x:v>费用与支付</x:v>
      </x:c>
      <x:c r="C8" s="25" t="str">
        <x:v>待实操</x:v>
      </x:c>
      <x:c r="D8" s="25" t="str">
        <x:v>P0</x:v>
      </x:c>
      <x:c r="E8" s="24" t="str">
        <x:v>财务/购买者</x:v>
      </x:c>
      <x:c r="F8" s="24" t="str">
        <x:v>当前客户端</x:v>
      </x:c>
      <x:c r="G8" s="24" t="str">
        <x:v>当前终端/IP</x:v>
      </x:c>
      <x:c r="H8" s="24" t="str">
        <x:v>第三方已扣款但平台回调延迟</x:v>
      </x:c>
      <x:c r="I8" s="24" t="str">
        <x:v>刷新页面 5 次</x:v>
      </x:c>
      <x:c r="J8" s="24" t="str">
        <x:v>支付禁用，显示确认中</x:v>
      </x:c>
      <x:c r="K8" s="24" t="str">
        <x:v>支付结果确认中，请勿重复支付。可稍后在订单详情查看。</x:v>
      </x:c>
      <x:c r="L8" s="24" t="str">
        <x:v>状态弹窗</x:v>
      </x:c>
      <x:c r="M8" s="24" t="str">
        <x:v>待实操；期望只入账一次，成功后进入交付</x:v>
      </x:c>
      <x:c r="N8" s="24" t="str">
        <x:v>5s 轮询，最多 2分钟</x:v>
      </x:c>
      <x:c r="O8" s="24" t="str">
        <x:v>订单、余额流水；成功只发 1 条通知</x:v>
      </x:c>
      <x:c r="P8" s="24" t="str">
        <x:v>自动或人工对账</x:v>
      </x:c>
      <x:c r="Q8" s="24" t="str">
        <x:v>待补 FIN-004</x:v>
      </x:c>
      <x:c r="R8" s="24" t="str"/>
    </x:row>
    <x:row r="9" ht="68" customHeight="1">
      <x:c r="A9" s="25" t="str">
        <x:v>FIN-005</x:v>
      </x:c>
      <x:c r="B9" s="25" t="str">
        <x:v>费用与支付</x:v>
      </x:c>
      <x:c r="C9" s="25" t="str">
        <x:v>待实操</x:v>
      </x:c>
      <x:c r="D9" s="25" t="str">
        <x:v>P0</x:v>
      </x:c>
      <x:c r="E9" s="24" t="str">
        <x:v>购买者</x:v>
      </x:c>
      <x:c r="F9" s="24" t="str">
        <x:v>当前客户端</x:v>
      </x:c>
      <x:c r="G9" s="24" t="str">
        <x:v>平台设备/IP</x:v>
      </x:c>
      <x:c r="H9" s="24" t="str">
        <x:v>余额小于订单金额</x:v>
      </x:c>
      <x:c r="I9" s="24" t="str">
        <x:v>余额支付 1 次</x:v>
      </x:c>
      <x:c r="J9" s="24" t="str">
        <x:v>校验后停止 Loading</x:v>
      </x:c>
      <x:c r="K9" s="24" t="str">
        <x:v>团队余额不足，还差 ¥{差额}。请先充值或更换支付方式。</x:v>
      </x:c>
      <x:c r="L9" s="24" t="str">
        <x:v>余额不足弹窗</x:v>
      </x:c>
      <x:c r="M9" s="24" t="str">
        <x:v>待实操；期望不扣余额、不改变库存归属</x:v>
      </x:c>
      <x:c r="N9" s="24" t="str">
        <x:v>无</x:v>
      </x:c>
      <x:c r="O9" s="24" t="str">
        <x:v>失败原因；无短信</x:v>
      </x:c>
      <x:c r="P9" s="24" t="str">
        <x:v>充值或换渠道</x:v>
      </x:c>
      <x:c r="Q9" s="24" t="str">
        <x:v>待补 FIN-005</x:v>
      </x:c>
      <x:c r="R9" s="24" t="str"/>
    </x:row>
    <x:row r="10" ht="68" customHeight="1">
      <x:c r="A10" s="25" t="str">
        <x:v>FIN-006</x:v>
      </x:c>
      <x:c r="B10" s="25" t="str">
        <x:v>费用与支付</x:v>
      </x:c>
      <x:c r="C10" s="25" t="str">
        <x:v>待实操</x:v>
      </x:c>
      <x:c r="D10" s="25" t="str">
        <x:v>P0</x:v>
      </x:c>
      <x:c r="E10" s="24" t="str">
        <x:v>两名购买者</x:v>
      </x:c>
      <x:c r="F10" s="24" t="str">
        <x:v>当前客户端</x:v>
      </x:c>
      <x:c r="G10" s="24" t="str">
        <x:v>两台终端/同团队</x:v>
      </x:c>
      <x:c r="H10" s="24" t="str">
        <x:v>余额只够 1 笔订单</x:v>
      </x:c>
      <x:c r="I10" s="24" t="str">
        <x:v>两终端同时支付</x:v>
      </x:c>
      <x:c r="J10" s="24" t="str">
        <x:v>两端先 Loading，仅一端成功</x:v>
      </x:c>
      <x:c r="K10" s="24" t="str">
        <x:v>余额已发生变化，当前可用余额不足，本次支付未完成。</x:v>
      </x:c>
      <x:c r="L10" s="24" t="str">
        <x:v>失败端弹窗</x:v>
      </x:c>
      <x:c r="M10" s="24" t="str">
        <x:v>待实操；期望原子扣款，余额不为负</x:v>
      </x:c>
      <x:c r="N10" s="24" t="str">
        <x:v>无</x:v>
      </x:c>
      <x:c r="O10" s="24" t="str">
        <x:v>两笔 requestId、最终余额；成功端通知</x:v>
      </x:c>
      <x:c r="P10" s="24" t="str">
        <x:v>失败端充值后重试</x:v>
      </x:c>
      <x:c r="Q10" s="24" t="str">
        <x:v>待补 FIN-006</x:v>
      </x:c>
      <x:c r="R10" s="24" t="str"/>
    </x:row>
    <x:row r="11" ht="68" customHeight="1">
      <x:c r="A11" s="25" t="str">
        <x:v>FIN-007</x:v>
      </x:c>
      <x:c r="B11" s="25" t="str">
        <x:v>费用与支付</x:v>
      </x:c>
      <x:c r="C11" s="25" t="str">
        <x:v>待实操</x:v>
      </x:c>
      <x:c r="D11" s="25" t="str">
        <x:v>P1</x:v>
      </x:c>
      <x:c r="E11" s="24" t="str">
        <x:v>财务</x:v>
      </x:c>
      <x:c r="F11" s="24" t="str">
        <x:v>当前客户端</x:v>
      </x:c>
      <x:c r="G11" s="24" t="str">
        <x:v>当前终端/IP</x:v>
      </x:c>
      <x:c r="H11" s="24" t="str">
        <x:v>进入账户充值</x:v>
      </x:c>
      <x:c r="I11" s="24" t="str">
        <x:v>输入 0、负数、字母、3位小数</x:v>
      </x:c>
      <x:c r="J11" s="24" t="str">
        <x:v>非法值时充值禁用</x:v>
      </x:c>
      <x:c r="K11" s="24" t="str">
        <x:v>请输入有效充值金额，金额需大于 0 且最多保留两位小数。</x:v>
      </x:c>
      <x:c r="L11" s="24" t="str">
        <x:v>字段提示</x:v>
      </x:c>
      <x:c r="M11" s="24" t="str">
        <x:v>待实操；期望不生成充值订单</x:v>
      </x:c>
      <x:c r="N11" s="24" t="str">
        <x:v>合法后立即恢复</x:v>
      </x:c>
      <x:c r="O11" s="24" t="str">
        <x:v>只记最终合法提交</x:v>
      </x:c>
      <x:c r="P11" s="24" t="str">
        <x:v>修改金额</x:v>
      </x:c>
      <x:c r="Q11" s="24" t="str">
        <x:v>待补 FIN-007</x:v>
      </x:c>
      <x:c r="R11" s="24" t="str"/>
    </x:row>
    <x:row r="12" ht="68" customHeight="1">
      <x:c r="A12" s="25" t="str">
        <x:v>FIN-008</x:v>
      </x:c>
      <x:c r="B12" s="25" t="str">
        <x:v>费用与支付</x:v>
      </x:c>
      <x:c r="C12" s="25" t="str">
        <x:v>待实操</x:v>
      </x:c>
      <x:c r="D12" s="25" t="str">
        <x:v>P0</x:v>
      </x:c>
      <x:c r="E12" s="24" t="str">
        <x:v>财务</x:v>
      </x:c>
      <x:c r="F12" s="24" t="str">
        <x:v>当前客户端</x:v>
      </x:c>
      <x:c r="G12" s="24" t="str">
        <x:v>当前终端/IP</x:v>
      </x:c>
      <x:c r="H12" s="24" t="str">
        <x:v>充值成功但渠道重复回调</x:v>
      </x:c>
      <x:c r="I12" s="24" t="str">
        <x:v>同一交易回调 3 次</x:v>
      </x:c>
      <x:c r="J12" s="24" t="str">
        <x:v>显示到账确认中</x:v>
      </x:c>
      <x:c r="K12" s="24" t="str">
        <x:v>充值已受理，到账确认中，请勿重复支付。</x:v>
      </x:c>
      <x:c r="L12" s="24" t="str">
        <x:v>Toast/余额状态</x:v>
      </x:c>
      <x:c r="M12" s="24" t="str">
        <x:v>待实操；期望余额只增加一次，只有一条有效流水</x:v>
      </x:c>
      <x:c r="N12" s="24" t="str">
        <x:v>轮询 5s，最多 2分钟</x:v>
      </x:c>
      <x:c r="O12" s="24" t="str">
        <x:v>回调去重；到账仅通知 1 次</x:v>
      </x:c>
      <x:c r="P12" s="24" t="str">
        <x:v>自动或人工对账</x:v>
      </x:c>
      <x:c r="Q12" s="24" t="str">
        <x:v>待补 FIN-008</x:v>
      </x:c>
      <x:c r="R12" s="24" t="str"/>
    </x:row>
    <x:row r="13" ht="68" customHeight="1">
      <x:c r="A13" s="25" t="str">
        <x:v>FIN-009</x:v>
      </x:c>
      <x:c r="B13" s="25" t="str">
        <x:v>费用与支付</x:v>
      </x:c>
      <x:c r="C13" s="25" t="str">
        <x:v>待实操</x:v>
      </x:c>
      <x:c r="D13" s="25" t="str">
        <x:v>P1</x:v>
      </x:c>
      <x:c r="E13" s="24" t="str">
        <x:v>财务</x:v>
      </x:c>
      <x:c r="F13" s="24" t="str">
        <x:v>当前客户端</x:v>
      </x:c>
      <x:c r="G13" s="24" t="str">
        <x:v>当前终端/IP</x:v>
      </x:c>
      <x:c r="H13" s="24" t="str">
        <x:v>已提交对公汇款信息</x:v>
      </x:c>
      <x:c r="I13" s="24" t="str">
        <x:v>连击我已汇款2次</x:v>
      </x:c>
      <x:c r="J13" s="24" t="str">
        <x:v>首次后禁用</x:v>
      </x:c>
      <x:c r="K13" s="24" t="str">
        <x:v>该汇款信息已提交，请勿重复提交。如需更正，请联系财务客服。</x:v>
      </x:c>
      <x:c r="L13" s="24" t="str">
        <x:v>成功弹窗</x:v>
      </x:c>
      <x:c r="M13" s="24" t="str">
        <x:v>待实操；期望只生成 1 条待审核记录</x:v>
      </x:c>
      <x:c r="N13" s="24" t="str">
        <x:v>审核完成前锁定</x:v>
      </x:c>
      <x:c r="O13" s="24" t="str">
        <x:v>金额、备注、提交人；站内信</x:v>
      </x:c>
      <x:c r="P13" s="24" t="str">
        <x:v>由客服退回修改</x:v>
      </x:c>
      <x:c r="Q13" s="24" t="str">
        <x:v>待补 FIN-009</x:v>
      </x:c>
      <x:c r="R13" s="24" t="str"/>
    </x:row>
    <x:row r="14" ht="68" customHeight="1">
      <x:c r="A14" s="25" t="str">
        <x:v>FIN-010</x:v>
      </x:c>
      <x:c r="B14" s="25" t="str">
        <x:v>费用与支付</x:v>
      </x:c>
      <x:c r="C14" s="25" t="str">
        <x:v>待实操</x:v>
      </x:c>
      <x:c r="D14" s="25" t="str">
        <x:v>P1</x:v>
      </x:c>
      <x:c r="E14" s="24" t="str">
        <x:v>购买者</x:v>
      </x:c>
      <x:c r="F14" s="24" t="str">
        <x:v>当前客户端</x:v>
      </x:c>
      <x:c r="G14" s="24" t="str">
        <x:v>平台设备/IP</x:v>
      </x:c>
      <x:c r="H14" s="24" t="str">
        <x:v>待支付订单超时</x:v>
      </x:c>
      <x:c r="I14" s="24" t="str">
        <x:v>点击旧订单继续支付</x:v>
      </x:c>
      <x:c r="J14" s="24" t="str">
        <x:v>旧支付禁用，提供重新下单</x:v>
      </x:c>
      <x:c r="K14" s="24" t="str">
        <x:v>订单已超时关闭，未发生扣款。请重新创建订单。</x:v>
      </x:c>
      <x:c r="L14" s="24" t="str">
        <x:v>阻断弹窗</x:v>
      </x:c>
      <x:c r="M14" s="24" t="str">
        <x:v>待实操；期望旧单关闭，新单重新校验库存和价格</x:v>
      </x:c>
      <x:c r="N14" s="24" t="str">
        <x:v>无</x:v>
      </x:c>
      <x:c r="O14" s="24" t="str">
        <x:v>关闭原因；无短信</x:v>
      </x:c>
      <x:c r="P14" s="24" t="str">
        <x:v>重新下单</x:v>
      </x:c>
      <x:c r="Q14" s="24" t="str">
        <x:v>待补 FIN-010</x:v>
      </x:c>
      <x:c r="R14" s="24" t="str"/>
    </x:row>
    <x:row r="15" ht="68" customHeight="1">
      <x:c r="A15" s="25" t="str">
        <x:v>FIN-011</x:v>
      </x:c>
      <x:c r="B15" s="25" t="str">
        <x:v>费用与支付</x:v>
      </x:c>
      <x:c r="C15" s="25" t="str">
        <x:v>待实操</x:v>
      </x:c>
      <x:c r="D15" s="25" t="str">
        <x:v>P0</x:v>
      </x:c>
      <x:c r="E15" s="24" t="str">
        <x:v>购买者</x:v>
      </x:c>
      <x:c r="F15" s="24" t="str">
        <x:v>当前客户端</x:v>
      </x:c>
      <x:c r="G15" s="24" t="str">
        <x:v>平台设备/IP</x:v>
      </x:c>
      <x:c r="H15" s="24" t="str">
        <x:v>优惠券提交瞬间过期</x:v>
      </x:c>
      <x:c r="I15" s="24" t="str">
        <x:v>单次提交</x:v>
      </x:c>
      <x:c r="J15" s="24" t="str">
        <x:v>停止 Loading，券取消选中</x:v>
      </x:c>
      <x:c r="K15" s="24" t="str">
        <x:v>优惠券已失效，请重新选择优惠券或按当前价格支付。</x:v>
      </x:c>
      <x:c r="L15" s="24" t="str">
        <x:v>弹窗</x:v>
      </x:c>
      <x:c r="M15" s="24" t="str">
        <x:v>待实操；期望不按过期券金额扣款</x:v>
      </x:c>
      <x:c r="N15" s="24" t="str">
        <x:v>无</x:v>
      </x:c>
      <x:c r="O15" s="24" t="str">
        <x:v>券 ID、失效原因</x:v>
      </x:c>
      <x:c r="P15" s="24" t="str">
        <x:v>换券或原价支付</x:v>
      </x:c>
      <x:c r="Q15" s="24" t="str">
        <x:v>待补 FIN-011</x:v>
      </x:c>
      <x:c r="R15" s="24" t="str"/>
    </x:row>
    <x:row r="16" ht="68" customHeight="1">
      <x:c r="A16" s="25" t="str">
        <x:v>FIN-012</x:v>
      </x:c>
      <x:c r="B16" s="25" t="str">
        <x:v>费用与支付</x:v>
      </x:c>
      <x:c r="C16" s="25" t="str">
        <x:v>待实操</x:v>
      </x:c>
      <x:c r="D16" s="25" t="str">
        <x:v>P1</x:v>
      </x:c>
      <x:c r="E16" s="24" t="str">
        <x:v>购买者</x:v>
      </x:c>
      <x:c r="F16" s="24" t="str">
        <x:v>当前客户端</x:v>
      </x:c>
      <x:c r="G16" s="24" t="str">
        <x:v>平台设备/IP</x:v>
      </x:c>
      <x:c r="H16" s="24" t="str">
        <x:v>券不满足 SKU/金额/时长</x:v>
      </x:c>
      <x:c r="I16" s="24" t="str">
        <x:v>逐一选择不兼容券</x:v>
      </x:c>
      <x:c r="J16" s="24" t="str">
        <x:v>不兼容券不可确认</x:v>
      </x:c>
      <x:c r="K16" s="24" t="str">
        <x:v>该优惠券不满足使用条件：{具体原因}。</x:v>
      </x:c>
      <x:c r="L16" s="24" t="str">
        <x:v>券列表行内提示</x:v>
      </x:c>
      <x:c r="M16" s="24" t="str">
        <x:v>待实操；期望订单金额不被错误修改</x:v>
      </x:c>
      <x:c r="N16" s="24" t="str">
        <x:v>无</x:v>
      </x:c>
      <x:c r="O16" s="24" t="str">
        <x:v>券校验失败</x:v>
      </x:c>
      <x:c r="P16" s="24" t="str">
        <x:v>选择兼容券</x:v>
      </x:c>
      <x:c r="Q16" s="24" t="str">
        <x:v>待补 FIN-012</x:v>
      </x:c>
      <x:c r="R16" s="24" t="str"/>
    </x:row>
    <x:row r="17" ht="68" customHeight="1">
      <x:c r="A17" s="25" t="str">
        <x:v>FIN-013</x:v>
      </x:c>
      <x:c r="B17" s="25" t="str">
        <x:v>费用与支付</x:v>
      </x:c>
      <x:c r="C17" s="25" t="str">
        <x:v>待实操</x:v>
      </x:c>
      <x:c r="D17" s="25" t="str">
        <x:v>P0</x:v>
      </x:c>
      <x:c r="E17" s="24" t="str">
        <x:v>购买者</x:v>
      </x:c>
      <x:c r="F17" s="24" t="str">
        <x:v>当前客户端</x:v>
      </x:c>
      <x:c r="G17" s="24" t="str">
        <x:v>平台设备/IP</x:v>
      </x:c>
      <x:c r="H17" s="24" t="str">
        <x:v>券已锁定但支付失败</x:v>
      </x:c>
      <x:c r="I17" s="24" t="str">
        <x:v>失败后立即再次下单</x:v>
      </x:c>
      <x:c r="J17" s="24" t="str">
        <x:v>券显示释放中，暂不可选</x:v>
      </x:c>
      <x:c r="K17" s="24" t="str">
        <x:v>支付未完成，优惠券将在 {n} 分钟内退回账户。</x:v>
      </x:c>
      <x:c r="L17" s="24" t="str">
        <x:v>Toast/券状态</x:v>
      </x:c>
      <x:c r="M17" s="24" t="str">
        <x:v>待实操；期望券不永久占用，也不重复核销</x:v>
      </x:c>
      <x:c r="N17" s="24" t="str">
        <x:v>建议 5分钟内释放</x:v>
      </x:c>
      <x:c r="O17" s="24" t="str">
        <x:v>锁定、释放、核销状态</x:v>
      </x:c>
      <x:c r="P17" s="24" t="str">
        <x:v>释放后重用</x:v>
      </x:c>
      <x:c r="Q17" s="24" t="str">
        <x:v>待补 FIN-013</x:v>
      </x:c>
      <x:c r="R17" s="24" t="str"/>
    </x:row>
    <x:row r="18" ht="68" customHeight="1">
      <x:c r="A18" s="25" t="str">
        <x:v>FIN-014</x:v>
      </x:c>
      <x:c r="B18" s="25" t="str">
        <x:v>费用与支付</x:v>
      </x:c>
      <x:c r="C18" s="25" t="str">
        <x:v>待实操</x:v>
      </x:c>
      <x:c r="D18" s="25" t="str">
        <x:v>P1</x:v>
      </x:c>
      <x:c r="E18" s="24" t="str">
        <x:v>财务</x:v>
      </x:c>
      <x:c r="F18" s="24" t="str">
        <x:v>当前客户端</x:v>
      </x:c>
      <x:c r="G18" s="24" t="str">
        <x:v>当前终端/IP</x:v>
      </x:c>
      <x:c r="H18" s="24" t="str">
        <x:v>进入开票表单</x:v>
      </x:c>
      <x:c r="I18" s="24" t="str">
        <x:v>错误税号提交 2 次</x:v>
      </x:c>
      <x:c r="J18" s="24" t="str">
        <x:v>提交后聚焦错误字段</x:v>
      </x:c>
      <x:c r="K18" s="24" t="str">
        <x:v>请检查发票信息：纳税人识别号格式不正确。</x:v>
      </x:c>
      <x:c r="L18" s="24" t="str">
        <x:v>字段错误 + 顶部汇总</x:v>
      </x:c>
      <x:c r="M18" s="24" t="str">
        <x:v>待实操；期望不创建申请，保留其他已填内容</x:v>
      </x:c>
      <x:c r="N18" s="24" t="str">
        <x:v>无</x:v>
      </x:c>
      <x:c r="O18" s="24" t="str">
        <x:v>校验失败，不记完整税号</x:v>
      </x:c>
      <x:c r="P18" s="24" t="str">
        <x:v>修改后提交</x:v>
      </x:c>
      <x:c r="Q18" s="24" t="str">
        <x:v>待补 FIN-014</x:v>
      </x:c>
      <x:c r="R18" s="24" t="str"/>
    </x:row>
    <x:row r="19" ht="68" customHeight="1">
      <x:c r="A19" s="25" t="str">
        <x:v>FIN-015</x:v>
      </x:c>
      <x:c r="B19" s="25" t="str">
        <x:v>费用与支付</x:v>
      </x:c>
      <x:c r="C19" s="25" t="str">
        <x:v>待实操</x:v>
      </x:c>
      <x:c r="D19" s="25" t="str">
        <x:v>P0</x:v>
      </x:c>
      <x:c r="E19" s="24" t="str">
        <x:v>财务</x:v>
      </x:c>
      <x:c r="F19" s="24" t="str">
        <x:v>当前客户端</x:v>
      </x:c>
      <x:c r="G19" s="24" t="str">
        <x:v>当前终端/IP</x:v>
      </x:c>
      <x:c r="H19" s="24" t="str">
        <x:v>所选订单已有开票申请</x:v>
      </x:c>
      <x:c r="I19" s="24" t="str">
        <x:v>再次勾选并申请</x:v>
      </x:c>
      <x:c r="J19" s="24" t="str">
        <x:v>已申请订单禁选</x:v>
      </x:c>
      <x:c r="K19" s="24" t="str">
        <x:v>所选订单已申请开票，请勿重复提交。</x:v>
      </x:c>
      <x:c r="L19" s="24" t="str">
        <x:v>行内状态/弹窗</x:v>
      </x:c>
      <x:c r="M19" s="24" t="str">
        <x:v>待实操；期望不重复占用可开票金额</x:v>
      </x:c>
      <x:c r="N19" s="24" t="str">
        <x:v>无</x:v>
      </x:c>
      <x:c r="O19" s="24" t="str">
        <x:v>重复请求</x:v>
      </x:c>
      <x:c r="P19" s="24" t="str">
        <x:v>查看原申请</x:v>
      </x:c>
      <x:c r="Q19" s="24" t="str">
        <x:v>待补 FIN-015</x:v>
      </x:c>
      <x:c r="R19" s="24" t="str"/>
    </x:row>
    <x:row r="20" ht="68" customHeight="1">
      <x:c r="A20" s="25" t="str">
        <x:v>FIN-016</x:v>
      </x:c>
      <x:c r="B20" s="25" t="str">
        <x:v>费用与支付</x:v>
      </x:c>
      <x:c r="C20" s="25" t="str">
        <x:v>待实操</x:v>
      </x:c>
      <x:c r="D20" s="25" t="str">
        <x:v>P1</x:v>
      </x:c>
      <x:c r="E20" s="24" t="str">
        <x:v>财务</x:v>
      </x:c>
      <x:c r="F20" s="24" t="str">
        <x:v>当前客户端</x:v>
      </x:c>
      <x:c r="G20" s="24" t="str">
        <x:v>当前终端/IP</x:v>
      </x:c>
      <x:c r="H20" s="24" t="str">
        <x:v>开票申请被驳回</x:v>
      </x:c>
      <x:c r="I20" s="24" t="str">
        <x:v>查看详情并修改</x:v>
      </x:c>
      <x:c r="J20" s="24" t="str">
        <x:v>重新提交可用，查看发票禁用</x:v>
      </x:c>
      <x:c r="K20" s="24" t="str">
        <x:v>开票申请未通过：{原因}。请修改后重新提交。</x:v>
      </x:c>
      <x:c r="L20" s="24" t="str">
        <x:v>状态详情弹窗</x:v>
      </x:c>
      <x:c r="M20" s="24" t="str">
        <x:v>待实操；期望保留原历史并生成新修订版本</x:v>
      </x:c>
      <x:c r="N20" s="24" t="str">
        <x:v>无</x:v>
      </x:c>
      <x:c r="O20" s="24" t="str">
        <x:v>操作日志、站内信；必要时邮件</x:v>
      </x:c>
      <x:c r="P20" s="24" t="str">
        <x:v>修改重提</x:v>
      </x:c>
      <x:c r="Q20" s="24" t="str">
        <x:v>待补 FIN-016</x:v>
      </x:c>
      <x:c r="R20" s="24" t="str"/>
    </x:row>
    <x:row r="21" ht="68" customHeight="1">
      <x:c r="A21" s="25" t="str">
        <x:v>FIN-017</x:v>
      </x:c>
      <x:c r="B21" s="25" t="str">
        <x:v>费用与支付</x:v>
      </x:c>
      <x:c r="C21" s="25" t="str">
        <x:v>待实操</x:v>
      </x:c>
      <x:c r="D21" s="25" t="str">
        <x:v>P0</x:v>
      </x:c>
      <x:c r="E21" s="24" t="str">
        <x:v>财务/管理员</x:v>
      </x:c>
      <x:c r="F21" s="24" t="str">
        <x:v>当前客户端/服务端任务</x:v>
      </x:c>
      <x:c r="G21" s="24" t="str">
        <x:v>多台平台设备/IP</x:v>
      </x:c>
      <x:c r="H21" s="24" t="str">
        <x:v>多台设备同日自动续费、余额不足</x:v>
      </x:c>
      <x:c r="I21" s="24" t="str">
        <x:v>10 台同时执行</x:v>
      </x:c>
      <x:c r="J21" s="24" t="str">
        <x:v>失败设备显示续费失败</x:v>
      </x:c>
      <x:c r="K21" s="24" t="str">
        <x:v>自动续费失败：团队余额不足，共 {n} 台设备未续费。请在 {到期时间} 前充值或手动续费。</x:v>
      </x:c>
      <x:c r="L21" s="24" t="str">
        <x:v>站内弹窗/列表状态</x:v>
      </x:c>
      <x:c r="M21" s="24" t="str">
        <x:v>待实操；期望逐台落账，不超扣、不重复续期</x:v>
      </x:c>
      <x:c r="N21" s="24" t="str">
        <x:v>建议 30分钟重试</x:v>
      </x:c>
      <x:c r="O21" s="24" t="str">
        <x:v>逐设备日志、站内信和短信汇总</x:v>
      </x:c>
      <x:c r="P21" s="24" t="str">
        <x:v>到期前充值或手动续费</x:v>
      </x:c>
      <x:c r="Q21" s="24" t="str">
        <x:v>待补 FIN-017</x:v>
      </x:c>
      <x:c r="R21" s="24" t="str"/>
    </x:row>
    <x:row r="22" ht="68" customHeight="1">
      <x:c r="A22" s="25" t="str">
        <x:v>FIN-018</x:v>
      </x:c>
      <x:c r="B22" s="25" t="str">
        <x:v>费用与支付</x:v>
      </x:c>
      <x:c r="C22" s="25" t="str">
        <x:v>待实操</x:v>
      </x:c>
      <x:c r="D22" s="25" t="str">
        <x:v>P0</x:v>
      </x:c>
      <x:c r="E22" s="24" t="str">
        <x:v>管理员/购买者</x:v>
      </x:c>
      <x:c r="F22" s="24" t="str">
        <x:v>当前客户端</x:v>
      </x:c>
      <x:c r="G22" s="24" t="str">
        <x:v>平台设备/IP</x:v>
      </x:c>
      <x:c r="H22" s="24" t="str">
        <x:v>自动续费与手动续费同时触发</x:v>
      </x:c>
      <x:c r="I22" s="24" t="str">
        <x:v>双端并发</x:v>
      </x:c>
      <x:c r="J22" s="24" t="str">
        <x:v>首个请求后其余显示处理中</x:v>
      </x:c>
      <x:c r="K22" s="24" t="str">
        <x:v>续费状态正在更新，请勿重复操作。</x:v>
      </x:c>
      <x:c r="L22" s="24" t="str">
        <x:v>Toast</x:v>
      </x:c>
      <x:c r="M22" s="24" t="str">
        <x:v>待实操；期望到期时间只顺延一次，券只核销一次</x:v>
      </x:c>
      <x:c r="N22" s="24" t="str">
        <x:v>请求结束或 30s</x:v>
      </x:c>
      <x:c r="O22" s="24" t="str">
        <x:v>自动任务与人工请求关联幂等键</x:v>
      </x:c>
      <x:c r="P22" s="24" t="str">
        <x:v>异常时人工对账</x:v>
      </x:c>
      <x:c r="Q22" s="24" t="str">
        <x:v>待补 FIN-018</x:v>
      </x:c>
      <x:c r="R22" s="24" t="str"/>
    </x:row>
    <x:row r="23" ht="68" customHeight="1">
      <x:c r="A23" s="25" t="str">
        <x:v>EXT-001</x:v>
      </x:c>
      <x:c r="B23" s="25" t="str">
        <x:v>插件工具</x:v>
      </x:c>
      <x:c r="C23" s="25" t="str">
        <x:v>待实操</x:v>
      </x:c>
      <x:c r="D23" s="25" t="str">
        <x:v>P0</x:v>
      </x:c>
      <x:c r="E23" s="24" t="str">
        <x:v>普通成员</x:v>
      </x:c>
      <x:c r="F23" s="24" t="str">
        <x:v>当前客户端</x:v>
      </x:c>
      <x:c r="G23" s="24" t="str">
        <x:v>平台设备/IP</x:v>
      </x:c>
      <x:c r="H23" s="24" t="str">
        <x:v>无插件管理权限</x:v>
      </x:c>
      <x:c r="I23" s="24" t="str">
        <x:v>直达添加入口 3 次</x:v>
      </x:c>
      <x:c r="J23" s="24" t="str">
        <x:v>添加隐藏或禁用</x:v>
      </x:c>
      <x:c r="K23" s="24" t="str">
        <x:v>你没有添加插件的权限，请联系团队管理员。</x:v>
      </x:c>
      <x:c r="L23" s="24" t="str">
        <x:v>权限弹窗</x:v>
      </x:c>
      <x:c r="M23" s="24" t="str">
        <x:v>待实操；期望不创建插件、不泄露管理配置</x:v>
      </x:c>
      <x:c r="N23" s="24" t="str">
        <x:v>无</x:v>
      </x:c>
      <x:c r="O23" s="24" t="str">
        <x:v>拒绝访问</x:v>
      </x:c>
      <x:c r="P23" s="24" t="str">
        <x:v>管理员授权后重试</x:v>
      </x:c>
      <x:c r="Q23" s="24" t="str">
        <x:v>待补 EXT-001</x:v>
      </x:c>
      <x:c r="R23" s="24" t="str"/>
    </x:row>
    <x:row r="24" ht="68" customHeight="1">
      <x:c r="A24" s="25" t="str">
        <x:v>EXT-002</x:v>
      </x:c>
      <x:c r="B24" s="25" t="str">
        <x:v>插件工具</x:v>
      </x:c>
      <x:c r="C24" s="25" t="str">
        <x:v>待实操</x:v>
      </x:c>
      <x:c r="D24" s="25" t="str">
        <x:v>P1</x:v>
      </x:c>
      <x:c r="E24" s="24" t="str">
        <x:v>管理员</x:v>
      </x:c>
      <x:c r="F24" s="24" t="str">
        <x:v>当前客户端</x:v>
      </x:c>
      <x:c r="G24" s="24" t="str">
        <x:v>受限网络/IP</x:v>
      </x:c>
      <x:c r="H24" s="24" t="str">
        <x:v>Chrome 商店不可达</x:v>
      </x:c>
      <x:c r="I24" s="24" t="str">
        <x:v>搜索和刷新各 3 次</x:v>
      </x:c>
      <x:c r="J24" s="24" t="str">
        <x:v>搜索防抖；重试可用</x:v>
      </x:c>
      <x:c r="K24" s="24" t="str">
        <x:v>插件商店暂时无法访问，请检查网络后重试。</x:v>
      </x:c>
      <x:c r="L24" s="24" t="str">
        <x:v>空状态</x:v>
      </x:c>
      <x:c r="M24" s="24" t="str">
        <x:v>待实操；期望保留搜索词，不生成空记录</x:v>
      </x:c>
      <x:c r="N24" s="24" t="str">
        <x:v>3s</x:v>
      </x:c>
      <x:c r="O24" s="24" t="str">
        <x:v>网络错误；无短信</x:v>
      </x:c>
      <x:c r="P24" s="24" t="str">
        <x:v>恢复网络后重试</x:v>
      </x:c>
      <x:c r="Q24" s="24" t="str">
        <x:v>待补 EXT-002</x:v>
      </x:c>
      <x:c r="R24" s="24" t="str"/>
    </x:row>
    <x:row r="25" ht="68" customHeight="1">
      <x:c r="A25" s="25" t="str">
        <x:v>EXT-003</x:v>
      </x:c>
      <x:c r="B25" s="25" t="str">
        <x:v>插件工具</x:v>
      </x:c>
      <x:c r="C25" s="25" t="str">
        <x:v>待实操</x:v>
      </x:c>
      <x:c r="D25" s="25" t="str">
        <x:v>P0</x:v>
      </x:c>
      <x:c r="E25" s="24" t="str">
        <x:v>管理员</x:v>
      </x:c>
      <x:c r="F25" s="24" t="str">
        <x:v>当前客户端</x:v>
      </x:c>
      <x:c r="G25" s="24" t="str">
        <x:v>平台设备/IP</x:v>
      </x:c>
      <x:c r="H25" s="24" t="str">
        <x:v>插件申请高敏权限</x:v>
      </x:c>
      <x:c r="I25" s="24" t="str">
        <x:v>未确认风险即添加</x:v>
      </x:c>
      <x:c r="J25" s="24" t="str">
        <x:v>添加禁用</x:v>
      </x:c>
      <x:c r="K25" s="24" t="str">
        <x:v>请先阅读并确认插件权限风险。</x:v>
      </x:c>
      <x:c r="L25" s="24" t="str">
        <x:v>权限确认弹窗</x:v>
      </x:c>
      <x:c r="M25" s="24" t="str">
        <x:v>待实操；期望未确认前不得安装</x:v>
      </x:c>
      <x:c r="N25" s="24" t="str">
        <x:v>无</x:v>
      </x:c>
      <x:c r="O25" s="24" t="str">
        <x:v>确认版本、操作者</x:v>
      </x:c>
      <x:c r="P25" s="24" t="str">
        <x:v>确认后继续</x:v>
      </x:c>
      <x:c r="Q25" s="24" t="str">
        <x:v>待补 EXT-003</x:v>
      </x:c>
      <x:c r="R25" s="24" t="str"/>
    </x:row>
    <x:row r="26" ht="68" customHeight="1">
      <x:c r="A26" s="25" t="str">
        <x:v>EXT-004</x:v>
      </x:c>
      <x:c r="B26" s="25" t="str">
        <x:v>插件工具</x:v>
      </x:c>
      <x:c r="C26" s="25" t="str">
        <x:v>待实操</x:v>
      </x:c>
      <x:c r="D26" s="25" t="str">
        <x:v>P1</x:v>
      </x:c>
      <x:c r="E26" s="24" t="str">
        <x:v>管理员</x:v>
      </x:c>
      <x:c r="F26" s="24" t="str">
        <x:v>当前客户端</x:v>
      </x:c>
      <x:c r="G26" s="24" t="str">
        <x:v>当前终端/IP</x:v>
      </x:c>
      <x:c r="H26" s="24" t="str">
        <x:v>上传损坏/错误格式/超限包</x:v>
      </x:c>
      <x:c r="I26" s="24" t="str">
        <x:v>3 种异常文件</x:v>
      </x:c>
      <x:c r="J26" s="24" t="str">
        <x:v>上传中禁用；失败后恢复</x:v>
      </x:c>
      <x:c r="K26" s="24" t="str">
        <x:v>插件包无法解析，请上传有效的 .crx 或 .zip 文件。</x:v>
      </x:c>
      <x:c r="L26" s="24" t="str">
        <x:v>上传失败 Toast</x:v>
      </x:c>
      <x:c r="M26" s="24" t="str">
        <x:v>待实操；期望不留半成品、不影响现有插件</x:v>
      </x:c>
      <x:c r="N26" s="24" t="str">
        <x:v>无</x:v>
      </x:c>
      <x:c r="O26" s="24" t="str">
        <x:v>文件摘要和错误，不记源码</x:v>
      </x:c>
      <x:c r="P26" s="24" t="str">
        <x:v>换包重传</x:v>
      </x:c>
      <x:c r="Q26" s="24" t="str">
        <x:v>待补 EXT-004</x:v>
      </x:c>
      <x:c r="R26" s="24" t="str"/>
    </x:row>
    <x:row r="27" ht="68" customHeight="1">
      <x:c r="A27" s="25" t="str">
        <x:v>EXT-005</x:v>
      </x:c>
      <x:c r="B27" s="25" t="str">
        <x:v>插件工具</x:v>
      </x:c>
      <x:c r="C27" s="25" t="str">
        <x:v>待实操</x:v>
      </x:c>
      <x:c r="D27" s="25" t="str">
        <x:v>P1</x:v>
      </x:c>
      <x:c r="E27" s="24" t="str">
        <x:v>管理员</x:v>
      </x:c>
      <x:c r="F27" s="24" t="str">
        <x:v>当前客户端</x:v>
      </x:c>
      <x:c r="G27" s="24" t="str">
        <x:v>平台设备/IP</x:v>
      </x:c>
      <x:c r="H27" s="24" t="str">
        <x:v>已有相同或更高版本</x:v>
      </x:c>
      <x:c r="I27" s="24" t="str">
        <x:v>相同版、低版本各 1 次</x:v>
      </x:c>
      <x:c r="J27" s="24" t="str">
        <x:v>按版本校验</x:v>
      </x:c>
      <x:c r="K27" s="24" t="str">
        <x:v>当前版本不高于已安装版本。确认降级可能导致配置不兼容。</x:v>
      </x:c>
      <x:c r="L27" s="24" t="str">
        <x:v>二次确认弹窗</x:v>
      </x:c>
      <x:c r="M27" s="24" t="str">
        <x:v>待实操；期望默认阻止重复，降级保留回滚点</x:v>
      </x:c>
      <x:c r="N27" s="24" t="str">
        <x:v>5s</x:v>
      </x:c>
      <x:c r="O27" s="24" t="str">
        <x:v>旧/新版本、操作者</x:v>
      </x:c>
      <x:c r="P27" s="24" t="str">
        <x:v>取消或回滚</x:v>
      </x:c>
      <x:c r="Q27" s="24" t="str">
        <x:v>待补 EXT-005</x:v>
      </x:c>
      <x:c r="R27" s="24" t="str"/>
    </x:row>
    <x:row r="28" ht="68" customHeight="1">
      <x:c r="A28" s="25" t="str">
        <x:v>EXT-006</x:v>
      </x:c>
      <x:c r="B28" s="25" t="str">
        <x:v>插件工具</x:v>
      </x:c>
      <x:c r="C28" s="25" t="str">
        <x:v>待实操</x:v>
      </x:c>
      <x:c r="D28" s="25" t="str">
        <x:v>P0</x:v>
      </x:c>
      <x:c r="E28" s="24" t="str">
        <x:v>管理员</x:v>
      </x:c>
      <x:c r="F28" s="24" t="str">
        <x:v>当前客户端</x:v>
      </x:c>
      <x:c r="G28" s="24" t="str">
        <x:v>平台设备/IP</x:v>
      </x:c>
      <x:c r="H28" s="24" t="str">
        <x:v>插件正被运行店铺使用</x:v>
      </x:c>
      <x:c r="I28" s="24" t="str">
        <x:v>更新 1 次</x:v>
      </x:c>
      <x:c r="J28" s="24" t="str">
        <x:v>更新后显示待重启生效</x:v>
      </x:c>
      <x:c r="K28" s="24" t="str">
        <x:v>插件已更新，将在相关店铺环境重启后生效。</x:v>
      </x:c>
      <x:c r="L28" s="24" t="str">
        <x:v>成功 Toast</x:v>
      </x:c>
      <x:c r="M28" s="24" t="str">
        <x:v>待实操；期望运行环境不中断，新环境使用新版本</x:v>
      </x:c>
      <x:c r="N28" s="24" t="str">
        <x:v>无</x:v>
      </x:c>
      <x:c r="O28" s="24" t="str">
        <x:v>影响店铺、版本</x:v>
      </x:c>
      <x:c r="P28" s="24" t="str">
        <x:v>重启或回滚</x:v>
      </x:c>
      <x:c r="Q28" s="24" t="str">
        <x:v>待补 EXT-006</x:v>
      </x:c>
      <x:c r="R28" s="24" t="str"/>
    </x:row>
    <x:row r="29" ht="68" customHeight="1">
      <x:c r="A29" s="25" t="str">
        <x:v>EXT-007</x:v>
      </x:c>
      <x:c r="B29" s="25" t="str">
        <x:v>插件工具</x:v>
      </x:c>
      <x:c r="C29" s="25" t="str">
        <x:v>待实操</x:v>
      </x:c>
      <x:c r="D29" s="25" t="str">
        <x:v>P0</x:v>
      </x:c>
      <x:c r="E29" s="24" t="str">
        <x:v>管理员</x:v>
      </x:c>
      <x:c r="F29" s="24" t="str">
        <x:v>当前客户端</x:v>
      </x:c>
      <x:c r="G29" s="24" t="str">
        <x:v>平台设备/IP</x:v>
      </x:c>
      <x:c r="H29" s="24" t="str">
        <x:v>插件分配给多店铺且有环境运行</x:v>
      </x:c>
      <x:c r="I29" s="24" t="str">
        <x:v>删除 1 次</x:v>
      </x:c>
      <x:c r="J29" s="24" t="str">
        <x:v>二次确认</x:v>
      </x:c>
      <x:c r="K29" s="24" t="str">
        <x:v>该插件已分配给 {n} 个店铺，其中 {m} 个正在运行。删除后下次启动将不再加载。</x:v>
      </x:c>
      <x:c r="L29" s="24" t="str">
        <x:v>风险弹窗</x:v>
      </x:c>
      <x:c r="M29" s="24" t="str">
        <x:v>待实操；期望不强制中断当前环境，删除关系可审计</x:v>
      </x:c>
      <x:c r="N29" s="24" t="str">
        <x:v>5s</x:v>
      </x:c>
      <x:c r="O29" s="24" t="str">
        <x:v>插件、店铺、成员、删除人</x:v>
      </x:c>
      <x:c r="P29" s="24" t="str">
        <x:v>重新安装和分配</x:v>
      </x:c>
      <x:c r="Q29" s="24" t="str">
        <x:v>待补 EXT-007</x:v>
      </x:c>
      <x:c r="R29" s="24" t="str"/>
    </x:row>
    <x:row r="30" ht="68" customHeight="1">
      <x:c r="A30" s="25" t="str">
        <x:v>EXT-008</x:v>
      </x:c>
      <x:c r="B30" s="25" t="str">
        <x:v>插件工具</x:v>
      </x:c>
      <x:c r="C30" s="25" t="str">
        <x:v>待实操</x:v>
      </x:c>
      <x:c r="D30" s="25" t="str">
        <x:v>P0</x:v>
      </x:c>
      <x:c r="E30" s="24" t="str">
        <x:v>普通成员</x:v>
      </x:c>
      <x:c r="F30" s="24" t="str">
        <x:v>当前客户端</x:v>
      </x:c>
      <x:c r="G30" s="24" t="str">
        <x:v>平台设备/IP</x:v>
      </x:c>
      <x:c r="H30" s="24" t="str">
        <x:v>有插件分配但无店铺授权</x:v>
      </x:c>
      <x:c r="I30" s="24" t="str">
        <x:v>从插件进入店铺 3 次</x:v>
      </x:c>
      <x:c r="J30" s="24" t="str">
        <x:v>进入按钮禁用</x:v>
      </x:c>
      <x:c r="K30" s="24" t="str">
        <x:v>你可以使用该插件，但没有目标店铺的访问权限。</x:v>
      </x:c>
      <x:c r="L30" s="24" t="str">
        <x:v>权限弹窗</x:v>
      </x:c>
      <x:c r="M30" s="24" t="str">
        <x:v>待实操；期望插件授权不能绕过店铺授权</x:v>
      </x:c>
      <x:c r="N30" s="24" t="str">
        <x:v>无</x:v>
      </x:c>
      <x:c r="O30" s="24" t="str">
        <x:v>越权阻断</x:v>
      </x:c>
      <x:c r="P30" s="24" t="str">
        <x:v>补充店铺授权</x:v>
      </x:c>
      <x:c r="Q30" s="24" t="str">
        <x:v>待补 EXT-008</x:v>
      </x:c>
      <x:c r="R30" s="24" t="str"/>
    </x:row>
    <x:row r="31" ht="68" customHeight="1">
      <x:c r="A31" s="25" t="str">
        <x:v>EXT-009</x:v>
      </x:c>
      <x:c r="B31" s="25" t="str">
        <x:v>插件工具</x:v>
      </x:c>
      <x:c r="C31" s="25" t="str">
        <x:v>待实操</x:v>
      </x:c>
      <x:c r="D31" s="25" t="str">
        <x:v>P1</x:v>
      </x:c>
      <x:c r="E31" s="24" t="str">
        <x:v>运营成员</x:v>
      </x:c>
      <x:c r="F31" s="24" t="str">
        <x:v>当前客户端</x:v>
      </x:c>
      <x:c r="G31" s="24" t="str">
        <x:v>平台设备/IP</x:v>
      </x:c>
      <x:c r="H31" s="24" t="str">
        <x:v>翻译服务离线或超时</x:v>
      </x:c>
      <x:c r="I31" s="24" t="str">
        <x:v>连续翻译 3 次</x:v>
      </x:c>
      <x:c r="J31" s="24" t="str">
        <x:v>Loading，失败后可重试</x:v>
      </x:c>
      <x:c r="K31" s="24" t="str">
        <x:v>翻译服务暂时不可用，原页面内容未被修改。</x:v>
      </x:c>
      <x:c r="L31" s="24" t="str">
        <x:v>Toast</x:v>
      </x:c>
      <x:c r="M31" s="24" t="str">
        <x:v>待实操；期望保留原文，不产生半翻译页面</x:v>
      </x:c>
      <x:c r="N31" s="24" t="str">
        <x:v>3s</x:v>
      </x:c>
      <x:c r="O31" s="24" t="str">
        <x:v>语言和错误码，不记页面正文</x:v>
      </x:c>
      <x:c r="P31" s="24" t="str">
        <x:v>重试或换工具</x:v>
      </x:c>
      <x:c r="Q31" s="24" t="str">
        <x:v>待补 EXT-009</x:v>
      </x:c>
      <x:c r="R31" s="24" t="str"/>
    </x:row>
    <x:row r="32" ht="68" customHeight="1">
      <x:c r="A32" s="25" t="str">
        <x:v>EXT-010</x:v>
      </x:c>
      <x:c r="B32" s="25" t="str">
        <x:v>插件工具</x:v>
      </x:c>
      <x:c r="C32" s="25" t="str">
        <x:v>待实操</x:v>
      </x:c>
      <x:c r="D32" s="25" t="str">
        <x:v>P0</x:v>
      </x:c>
      <x:c r="E32" s="24" t="str">
        <x:v>运营成员</x:v>
      </x:c>
      <x:c r="F32" s="24" t="str">
        <x:v>当前客户端</x:v>
      </x:c>
      <x:c r="G32" s="24" t="str">
        <x:v>本机磁盘/平台设备 IP</x:v>
      </x:c>
      <x:c r="H32" s="24" t="str">
        <x:v>下载目录无权限或磁盘满</x:v>
      </x:c>
      <x:c r="I32" s="24" t="str">
        <x:v>下载文件 2 次</x:v>
      </x:c>
      <x:c r="J32" s="24" t="str">
        <x:v>失败后恢复</x:v>
      </x:c>
      <x:c r="K32" s="24" t="str">
        <x:v>文件保存失败：目标目录不可写或磁盘空间不足。请更换目录后重试。</x:v>
      </x:c>
      <x:c r="L32" s="24" t="str">
        <x:v>系统弹窗</x:v>
      </x:c>
      <x:c r="M32" s="24" t="str">
        <x:v>待实操；期望不生成零字节伪成功文件</x:v>
      </x:c>
      <x:c r="N32" s="24" t="str">
        <x:v>无</x:v>
      </x:c>
      <x:c r="O32" s="24" t="str">
        <x:v>本地错误日志</x:v>
      </x:c>
      <x:c r="P32" s="24" t="str">
        <x:v>更换目录或清空间</x:v>
      </x:c>
      <x:c r="Q32" s="24" t="str">
        <x:v>待补 EXT-010</x:v>
      </x:c>
      <x:c r="R32" s="24" t="str"/>
    </x:row>
    <x:row r="33" ht="68" customHeight="1">
      <x:c r="A33" s="25" t="str">
        <x:v>EXT-011</x:v>
      </x:c>
      <x:c r="B33" s="25" t="str">
        <x:v>插件工具</x:v>
      </x:c>
      <x:c r="C33" s="25" t="str">
        <x:v>待实操</x:v>
      </x:c>
      <x:c r="D33" s="25" t="str">
        <x:v>P1</x:v>
      </x:c>
      <x:c r="E33" s="24" t="str">
        <x:v>运营成员</x:v>
      </x:c>
      <x:c r="F33" s="24" t="str">
        <x:v>当前客户端</x:v>
      </x:c>
      <x:c r="G33" s="24" t="str">
        <x:v>摄像头/麦克风设备</x:v>
      </x:c>
      <x:c r="H33" s="24" t="str">
        <x:v>系统媒体权限被拒绝</x:v>
      </x:c>
      <x:c r="I33" s="24" t="str">
        <x:v>启动测试 1 次</x:v>
      </x:c>
      <x:c r="J33" s="24" t="str">
        <x:v>失败后显示设置入口</x:v>
      </x:c>
      <x:c r="K33" s="24" t="str">
        <x:v>无法访问摄像头或麦克风，请在系统设置中授权后重新测试。</x:v>
      </x:c>
      <x:c r="L33" s="24" t="str">
        <x:v>权限弹窗</x:v>
      </x:c>
      <x:c r="M33" s="24" t="str">
        <x:v>待实操；期望不进入第三方认证，不伪报设备正常</x:v>
      </x:c>
      <x:c r="N33" s="24" t="str">
        <x:v>无</x:v>
      </x:c>
      <x:c r="O33" s="24" t="str">
        <x:v>设备权限状态</x:v>
      </x:c>
      <x:c r="P33" s="24" t="str">
        <x:v>授权后重测</x:v>
      </x:c>
      <x:c r="Q33" s="24" t="str">
        <x:v>待补 EXT-011</x:v>
      </x:c>
      <x:c r="R33" s="24" t="str"/>
    </x:row>
  </x:sheetData>
  <x:mergeCells>
    <x:mergeCell ref="A1:R1"/>
    <x:mergeCell ref="A2:R2"/>
  </x:mergeCells>
  <x:conditionalFormatting sqref="C5:C33">
    <x:cfRule type="containsText" dxfId="24" priority="1" operator="containsText" text="已实操"/>
    <x:cfRule type="containsText" dxfId="25" priority="2" operator="containsText" text="待实操"/>
    <x:cfRule type="containsText" dxfId="26" priority="3" operator="containsText" text="部分实操"/>
  </x:conditionalFormatting>
  <x:conditionalFormatting sqref="D5:D33">
    <x:cfRule type="containsText" dxfId="27" priority="4" operator="containsText" text="P0"/>
    <x:cfRule type="containsText" dxfId="28" priority="5" operator="containsText" text="P1"/>
    <x:cfRule type="containsText" dxfId="29" priority="6" operator="containsText" text="P2"/>
  </x:conditionalFormatting>
  <x:dataValidations count="2">
    <x:dataValidation type="list" sqref="C5:C33">
      <x:formula1>"待实操,部分实操,已实操,已实操，重点"</x:formula1>
    </x:dataValidation>
    <x:dataValidation type="list" sqref="D5:D33">
      <x:formula1>"P0,P1,P2"</x:formula1>
    </x:dataValidation>
  </x:dataValidations>
  <x:pageMargins left="0.7" right="0.7" top="0.75" bottom="0.75" header="0.3" footer="0.3"/>
  <x:tableParts count="1">
    <x:tablePart xmlns:r="http://schemas.openxmlformats.org/officeDocument/2006/relationships" r:id="Rfea8604d8aa944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Agent 与服务异常场景</x:v>
      </x:c>
      <x:c r="B1" s="3"/>
      <x:c r="C1" s="3"/>
      <x:c r="D1" s="3"/>
      <x:c r="E1" s="3"/>
      <x:c r="F1" s="3"/>
      <x:c r="G1" s="3"/>
      <x:c r="H1" s="3"/>
      <x:c r="I1" s="3"/>
      <x:c r="J1" s="3"/>
      <x:c r="K1" s="3"/>
      <x:c r="L1" s="3"/>
      <x:c r="M1" s="3"/>
      <x:c r="N1" s="3"/>
      <x:c r="O1" s="3"/>
      <x:c r="P1" s="3"/>
      <x:c r="Q1" s="3"/>
      <x:c r="R1" s="3"/>
    </x:row>
    <x:row r="2" ht="34" customHeight="1">
      <x:c r="A2" s="7" t="str">
        <x:v>Agent、MCP、客服、帮助中心、移动端与全局可靠性，共 21 条待实操场景。</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AGT-001</x:v>
      </x:c>
      <x:c r="B5" s="25" t="str">
        <x:v>Agent与MCP</x:v>
      </x:c>
      <x:c r="C5" s="25" t="str">
        <x:v>待实操</x:v>
      </x:c>
      <x:c r="D5" s="25" t="str">
        <x:v>P0</x:v>
      </x:c>
      <x:c r="E5" s="24" t="str">
        <x:v>普通成员</x:v>
      </x:c>
      <x:c r="F5" s="24" t="str">
        <x:v>当前客户端</x:v>
      </x:c>
      <x:c r="G5" s="24" t="str">
        <x:v>平台设备/IP</x:v>
      </x:c>
      <x:c r="H5" s="24" t="str">
        <x:v>无 Agent 或目标店铺权限</x:v>
      </x:c>
      <x:c r="I5" s="24" t="str">
        <x:v>点击运行 3 次</x:v>
      </x:c>
      <x:c r="J5" s="24" t="str">
        <x:v>运行禁用</x:v>
      </x:c>
      <x:c r="K5" s="24" t="str">
        <x:v>你缺少以下权限：{权限列表}。请联系管理员授权。</x:v>
      </x:c>
      <x:c r="L5" s="24" t="str">
        <x:v>权限弹窗</x:v>
      </x:c>
      <x:c r="M5" s="24" t="str">
        <x:v>待实操；期望不创建任务、不读取店铺数据</x:v>
      </x:c>
      <x:c r="N5" s="24" t="str">
        <x:v>无</x:v>
      </x:c>
      <x:c r="O5" s="24" t="str">
        <x:v>权限拒绝</x:v>
      </x:c>
      <x:c r="P5" s="24" t="str">
        <x:v>授权后重试</x:v>
      </x:c>
      <x:c r="Q5" s="24" t="str">
        <x:v>待补 AGT-001</x:v>
      </x:c>
      <x:c r="R5" s="24" t="str"/>
    </x:row>
    <x:row r="6" ht="68" customHeight="1">
      <x:c r="A6" s="25" t="str">
        <x:v>AGT-002</x:v>
      </x:c>
      <x:c r="B6" s="25" t="str">
        <x:v>Agent与MCP</x:v>
      </x:c>
      <x:c r="C6" s="25" t="str">
        <x:v>待实操</x:v>
      </x:c>
      <x:c r="D6" s="25" t="str">
        <x:v>P1</x:v>
      </x:c>
      <x:c r="E6" s="24" t="str">
        <x:v>试用成员</x:v>
      </x:c>
      <x:c r="F6" s="24" t="str">
        <x:v>当前客户端</x:v>
      </x:c>
      <x:c r="G6" s="24" t="str">
        <x:v>平台设备/IP</x:v>
      </x:c>
      <x:c r="H6" s="24" t="str">
        <x:v>试用到期或额度为 0</x:v>
      </x:c>
      <x:c r="I6" s="24" t="str">
        <x:v>点击开始任务</x:v>
      </x:c>
      <x:c r="J6" s="24" t="str">
        <x:v>改为查看方案/联系管理员</x:v>
      </x:c>
      <x:c r="K6" s="24" t="str">
        <x:v>试用额度已用完，本次任务不会执行。</x:v>
      </x:c>
      <x:c r="L6" s="24" t="str">
        <x:v>额度弹窗</x:v>
      </x:c>
      <x:c r="M6" s="24" t="str">
        <x:v>待实操；期望不扣费、不产生空任务</x:v>
      </x:c>
      <x:c r="N6" s="24" t="str">
        <x:v>无</x:v>
      </x:c>
      <x:c r="O6" s="24" t="str">
        <x:v>额度阻断；可发站内信</x:v>
      </x:c>
      <x:c r="P6" s="24" t="str">
        <x:v>获得额度后恢复</x:v>
      </x:c>
      <x:c r="Q6" s="24" t="str">
        <x:v>待补 AGT-002</x:v>
      </x:c>
      <x:c r="R6" s="24" t="str"/>
    </x:row>
    <x:row r="7" ht="68" customHeight="1">
      <x:c r="A7" s="25" t="str">
        <x:v>AGT-003</x:v>
      </x:c>
      <x:c r="B7" s="25" t="str">
        <x:v>Agent与MCP</x:v>
      </x:c>
      <x:c r="C7" s="25" t="str">
        <x:v>待实操</x:v>
      </x:c>
      <x:c r="D7" s="25" t="str">
        <x:v>P1</x:v>
      </x:c>
      <x:c r="E7" s="24" t="str">
        <x:v>运营成员</x:v>
      </x:c>
      <x:c r="F7" s="24" t="str">
        <x:v>当前客户端</x:v>
      </x:c>
      <x:c r="G7" s="24" t="str">
        <x:v>平台设备/IP</x:v>
      </x:c>
      <x:c r="H7" s="24" t="str">
        <x:v>缺少必填输入或格式错误</x:v>
      </x:c>
      <x:c r="I7" s="24" t="str">
        <x:v>连续提交 2 次</x:v>
      </x:c>
      <x:c r="J7" s="24" t="str">
        <x:v>禁用或聚焦首错字段</x:v>
      </x:c>
      <x:c r="K7" s="24" t="str">
        <x:v>请补充以下必填信息：{字段列表}。</x:v>
      </x:c>
      <x:c r="L7" s="24" t="str">
        <x:v>字段错误汇总</x:v>
      </x:c>
      <x:c r="M7" s="24" t="str">
        <x:v>待实操；期望不创建任务，保留已填内容</x:v>
      </x:c>
      <x:c r="N7" s="24" t="str">
        <x:v>无</x:v>
      </x:c>
      <x:c r="O7" s="24" t="str">
        <x:v>不记敏感输入正文</x:v>
      </x:c>
      <x:c r="P7" s="24" t="str">
        <x:v>修正后提交</x:v>
      </x:c>
      <x:c r="Q7" s="24" t="str">
        <x:v>待补 AGT-003</x:v>
      </x:c>
      <x:c r="R7" s="24" t="str"/>
    </x:row>
    <x:row r="8" ht="68" customHeight="1">
      <x:c r="A8" s="25" t="str">
        <x:v>AGT-004</x:v>
      </x:c>
      <x:c r="B8" s="25" t="str">
        <x:v>Agent与MCP</x:v>
      </x:c>
      <x:c r="C8" s="25" t="str">
        <x:v>待实操</x:v>
      </x:c>
      <x:c r="D8" s="25" t="str">
        <x:v>P0</x:v>
      </x:c>
      <x:c r="E8" s="24" t="str">
        <x:v>运营成员</x:v>
      </x:c>
      <x:c r="F8" s="24" t="str">
        <x:v>当前客户端</x:v>
      </x:c>
      <x:c r="G8" s="24" t="str">
        <x:v>平台设备/IP</x:v>
      </x:c>
      <x:c r="H8" s="24" t="str">
        <x:v>输入合法</x:v>
      </x:c>
      <x:c r="I8" s="24" t="str">
        <x:v>1秒内点击运行 3 次</x:v>
      </x:c>
      <x:c r="J8" s="24" t="str">
        <x:v>首次后禁用，显示排队/运行中</x:v>
      </x:c>
      <x:c r="K8" s="24" t="str">
        <x:v>任务已提交，请勿重复创建。</x:v>
      </x:c>
      <x:c r="L8" s="24" t="str">
        <x:v>Toast</x:v>
      </x:c>
      <x:c r="M8" s="24" t="str">
        <x:v>待实操；期望只创建 1 个任务，并发超限进入明确队列</x:v>
      </x:c>
      <x:c r="N8" s="24" t="str">
        <x:v>请求完成或 10s</x:v>
      </x:c>
      <x:c r="O8" s="24" t="str">
        <x:v>任务 ID、去重次数</x:v>
      </x:c>
      <x:c r="P8" s="24" t="str">
        <x:v>查看或取消任务</x:v>
      </x:c>
      <x:c r="Q8" s="24" t="str">
        <x:v>待补 AGT-004</x:v>
      </x:c>
      <x:c r="R8" s="24" t="str"/>
    </x:row>
    <x:row r="9" ht="68" customHeight="1">
      <x:c r="A9" s="25" t="str">
        <x:v>AGT-005</x:v>
      </x:c>
      <x:c r="B9" s="25" t="str">
        <x:v>Agent与MCP</x:v>
      </x:c>
      <x:c r="C9" s="25" t="str">
        <x:v>待实操</x:v>
      </x:c>
      <x:c r="D9" s="25" t="str">
        <x:v>P0</x:v>
      </x:c>
      <x:c r="E9" s="24" t="str">
        <x:v>运营成员</x:v>
      </x:c>
      <x:c r="F9" s="24" t="str">
        <x:v>当前客户端</x:v>
      </x:c>
      <x:c r="G9" s="24" t="str">
        <x:v>断网/弱网 IP</x:v>
      </x:c>
      <x:c r="H9" s="24" t="str">
        <x:v>任务运行中断网或超时</x:v>
      </x:c>
      <x:c r="I9" s="24" t="str">
        <x:v>断网 60 秒后恢复</x:v>
      </x:c>
      <x:c r="J9" s="24" t="str">
        <x:v>显示重试/取消，不允许重复运行</x:v>
      </x:c>
      <x:c r="K9" s="24" t="str">
        <x:v>任务执行超时，已停止继续操作。请检查结果后选择重试。</x:v>
      </x:c>
      <x:c r="L9" s="24" t="str">
        <x:v>任务状态弹窗</x:v>
      </x:c>
      <x:c r="M9" s="24" t="str">
        <x:v>待实操；期望明确为失败或待确认，不伪报成功</x:v>
      </x:c>
      <x:c r="N9" s="24" t="str">
        <x:v>建议 30s 后重试</x:v>
      </x:c>
      <x:c r="O9" s="24" t="str">
        <x:v>最后成功步骤、错误码</x:v>
      </x:c>
      <x:c r="P9" s="24" t="str">
        <x:v>从安全检查点重试</x:v>
      </x:c>
      <x:c r="Q9" s="24" t="str">
        <x:v>待补 AGT-005</x:v>
      </x:c>
      <x:c r="R9" s="24" t="str"/>
    </x:row>
    <x:row r="10" ht="68" customHeight="1">
      <x:c r="A10" s="25" t="str">
        <x:v>AGT-006</x:v>
      </x:c>
      <x:c r="B10" s="25" t="str">
        <x:v>Agent与MCP</x:v>
      </x:c>
      <x:c r="C10" s="25" t="str">
        <x:v>待实操</x:v>
      </x:c>
      <x:c r="D10" s="25" t="str">
        <x:v>P0</x:v>
      </x:c>
      <x:c r="E10" s="24" t="str">
        <x:v>运营成员/管理员</x:v>
      </x:c>
      <x:c r="F10" s="24" t="str">
        <x:v>当前客户端</x:v>
      </x:c>
      <x:c r="G10" s="24" t="str">
        <x:v>平台设备/IP</x:v>
      </x:c>
      <x:c r="H10" s="24" t="str">
        <x:v>任务已部分修改业务对象</x:v>
      </x:c>
      <x:c r="I10" s="24" t="str">
        <x:v>触发异常并人工接管</x:v>
      </x:c>
      <x:c r="J10" s="24" t="str">
        <x:v>自动操作停止，接管可用</x:v>
      </x:c>
      <x:c r="K10" s="24" t="str">
        <x:v>任务仅完成部分步骤。继续前请核对以下变更：{变更列表}。</x:v>
      </x:c>
      <x:c r="L10" s="24" t="str">
        <x:v>高风险弹窗</x:v>
      </x:c>
      <x:c r="M10" s="24" t="str">
        <x:v>待实操；期望列出已完成、未完成、可回滚项</x:v>
      </x:c>
      <x:c r="N10" s="24" t="str">
        <x:v>无</x:v>
      </x:c>
      <x:c r="O10" s="24" t="str">
        <x:v>Agent 与人工动作完整关联</x:v>
      </x:c>
      <x:c r="P10" s="24" t="str">
        <x:v>按步骤标明是否可回滚</x:v>
      </x:c>
      <x:c r="Q10" s="24" t="str">
        <x:v>待补 AGT-006</x:v>
      </x:c>
      <x:c r="R10" s="24" t="str"/>
    </x:row>
    <x:row r="11" ht="68" customHeight="1">
      <x:c r="A11" s="25" t="str">
        <x:v>AGT-007</x:v>
      </x:c>
      <x:c r="B11" s="25" t="str">
        <x:v>Agent与MCP</x:v>
      </x:c>
      <x:c r="C11" s="25" t="str">
        <x:v>待实操</x:v>
      </x:c>
      <x:c r="D11" s="25" t="str">
        <x:v>P0</x:v>
      </x:c>
      <x:c r="E11" s="24" t="str">
        <x:v>管理员/运营成员</x:v>
      </x:c>
      <x:c r="F11" s="24" t="str">
        <x:v>当前客户端</x:v>
      </x:c>
      <x:c r="G11" s="24" t="str">
        <x:v>平台设备/IP</x:v>
      </x:c>
      <x:c r="H11" s="24" t="str">
        <x:v>Agent 运行中撤销权限</x:v>
      </x:c>
      <x:c r="I11" s="24" t="str">
        <x:v>撤权 1 次</x:v>
      </x:c>
      <x:c r="J11" s="24" t="str">
        <x:v>任务立即暂停，继续禁用</x:v>
      </x:c>
      <x:c r="K11" s="24" t="str">
        <x:v>任务权限已被撤销，执行已暂停，未完成步骤不会继续。</x:v>
      </x:c>
      <x:c r="L11" s="24" t="str">
        <x:v>状态弹窗</x:v>
      </x:c>
      <x:c r="M11" s="24" t="str">
        <x:v>待实操；期望停止后续访问，不缓存使用已撤销凭证</x:v>
      </x:c>
      <x:c r="N11" s="24" t="str">
        <x:v>无</x:v>
      </x:c>
      <x:c r="O11" s="24" t="str">
        <x:v>权限变更与任务终止关联</x:v>
      </x:c>
      <x:c r="P11" s="24" t="str">
        <x:v>重新授权并人工确认</x:v>
      </x:c>
      <x:c r="Q11" s="24" t="str">
        <x:v>待补 AGT-007</x:v>
      </x:c>
      <x:c r="R11" s="24" t="str"/>
    </x:row>
    <x:row r="12" ht="68" customHeight="1">
      <x:c r="A12" s="25" t="str">
        <x:v>MCP-001</x:v>
      </x:c>
      <x:c r="B12" s="25" t="str">
        <x:v>Agent与MCP</x:v>
      </x:c>
      <x:c r="C12" s="25" t="str">
        <x:v>待实操</x:v>
      </x:c>
      <x:c r="D12" s="25" t="str">
        <x:v>P0</x:v>
      </x:c>
      <x:c r="E12" s="24" t="str">
        <x:v>管理员</x:v>
      </x:c>
      <x:c r="F12" s="24" t="str">
        <x:v>当前客户端</x:v>
      </x:c>
      <x:c r="G12" s="24" t="str">
        <x:v>MCP 服务地址/IP</x:v>
      </x:c>
      <x:c r="H12" s="24" t="str">
        <x:v>地址错误、TLS 失败或不可达</x:v>
      </x:c>
      <x:c r="I12" s="24" t="str">
        <x:v>测试连接 3 次</x:v>
      </x:c>
      <x:c r="J12" s="24" t="str">
        <x:v>Loading，失败后恢复</x:v>
      </x:c>
      <x:c r="K12" s="24" t="str">
        <x:v>MCP 服务连接失败：{可理解原因}。请检查地址、证书和网络。</x:v>
      </x:c>
      <x:c r="L12" s="24" t="str">
        <x:v>测试结果弹窗</x:v>
      </x:c>
      <x:c r="M12" s="24" t="str">
        <x:v>待实操；期望不保存为可用状态，不启动工具调用</x:v>
      </x:c>
      <x:c r="N12" s="24" t="str">
        <x:v>3s</x:v>
      </x:c>
      <x:c r="O12" s="24" t="str">
        <x:v>主机和错误码，不记完整查询参数</x:v>
      </x:c>
      <x:c r="P12" s="24" t="str">
        <x:v>修正后重测</x:v>
      </x:c>
      <x:c r="Q12" s="24" t="str">
        <x:v>待补 MCP-001</x:v>
      </x:c>
      <x:c r="R12" s="24" t="str"/>
    </x:row>
    <x:row r="13" ht="68" customHeight="1">
      <x:c r="A13" s="25" t="str">
        <x:v>MCP-002</x:v>
      </x:c>
      <x:c r="B13" s="25" t="str">
        <x:v>Agent与MCP</x:v>
      </x:c>
      <x:c r="C13" s="25" t="str">
        <x:v>待实操</x:v>
      </x:c>
      <x:c r="D13" s="25" t="str">
        <x:v>P0</x:v>
      </x:c>
      <x:c r="E13" s="24" t="str">
        <x:v>管理员</x:v>
      </x:c>
      <x:c r="F13" s="24" t="str">
        <x:v>当前客户端</x:v>
      </x:c>
      <x:c r="G13" s="24" t="str">
        <x:v>MCP 服务/IP</x:v>
      </x:c>
      <x:c r="H13" s="24" t="str">
        <x:v>密钥错误或运行中撤销</x:v>
      </x:c>
      <x:c r="I13" s="24" t="str">
        <x:v>测试 1 次、运行中撤销 1 次</x:v>
      </x:c>
      <x:c r="J13" s="24" t="str">
        <x:v>鉴权失败时运行禁用</x:v>
      </x:c>
      <x:c r="K13" s="24" t="str">
        <x:v>MCP 身份验证失败，凭证无效或已被撤销。</x:v>
      </x:c>
      <x:c r="L13" s="24" t="str">
        <x:v>错误弹窗</x:v>
      </x:c>
      <x:c r="M13" s="24" t="str">
        <x:v>待实操；期望密钥全程掩码，撤销后停止新调用</x:v>
      </x:c>
      <x:c r="N13" s="24" t="str">
        <x:v>连续失败 5 次后 60s</x:v>
      </x:c>
      <x:c r="O13" s="24" t="str">
        <x:v>安全日志记失败次数，不记密钥</x:v>
      </x:c>
      <x:c r="P13" s="24" t="str">
        <x:v>更新凭证</x:v>
      </x:c>
      <x:c r="Q13" s="24" t="str">
        <x:v>待补 MCP-002</x:v>
      </x:c>
      <x:c r="R13" s="24" t="str"/>
    </x:row>
    <x:row r="14" ht="68" customHeight="1">
      <x:c r="A14" s="25" t="str">
        <x:v>SUP-001</x:v>
      </x:c>
      <x:c r="B14" s="25" t="str">
        <x:v>客服与帮助</x:v>
      </x:c>
      <x:c r="C14" s="25" t="str">
        <x:v>待实操</x:v>
      </x:c>
      <x:c r="D14" s="25" t="str">
        <x:v>P1</x:v>
      </x:c>
      <x:c r="E14" s="24" t="str">
        <x:v>任意用户</x:v>
      </x:c>
      <x:c r="F14" s="24" t="str">
        <x:v>官网/当前客户端</x:v>
      </x:c>
      <x:c r="G14" s="24" t="str">
        <x:v>任意网络/IP</x:v>
      </x:c>
      <x:c r="H14" s="24" t="str">
        <x:v>文章不存在、下线或网络失败</x:v>
      </x:c>
      <x:c r="I14" s="24" t="str">
        <x:v>打开和刷新各 3 次</x:v>
      </x:c>
      <x:c r="J14" s="24" t="str">
        <x:v>重试、返回目录可用</x:v>
      </x:c>
      <x:c r="K14" s="24" t="str">
        <x:v>该帮助内容暂时无法加载，可能已更新或网络不可用。</x:v>
      </x:c>
      <x:c r="L14" s="24" t="str">
        <x:v>错误页</x:v>
      </x:c>
      <x:c r="M14" s="24" t="str">
        <x:v>待实操；期望不显示空白页，提供搜索、目录和客服</x:v>
      </x:c>
      <x:c r="N14" s="24" t="str">
        <x:v>3s</x:v>
      </x:c>
      <x:c r="O14" s="24" t="str">
        <x:v>文章 ID、错误码</x:v>
      </x:c>
      <x:c r="P14" s="24" t="str">
        <x:v>重试或转客服</x:v>
      </x:c>
      <x:c r="Q14" s="24" t="str">
        <x:v>待补 SUP-001</x:v>
      </x:c>
      <x:c r="R14" s="24" t="str"/>
    </x:row>
    <x:row r="15" ht="68" customHeight="1">
      <x:c r="A15" s="25" t="str">
        <x:v>SUP-002</x:v>
      </x:c>
      <x:c r="B15" s="25" t="str">
        <x:v>客服与帮助</x:v>
      </x:c>
      <x:c r="C15" s="25" t="str">
        <x:v>待实操</x:v>
      </x:c>
      <x:c r="D15" s="25" t="str">
        <x:v>P1</x:v>
      </x:c>
      <x:c r="E15" s="24" t="str">
        <x:v>任意用户</x:v>
      </x:c>
      <x:c r="F15" s="24" t="str">
        <x:v>官网/当前客户端</x:v>
      </x:c>
      <x:c r="G15" s="24" t="str">
        <x:v>当前设备/IP</x:v>
      </x:c>
      <x:c r="H15" s="24" t="str">
        <x:v>反馈为空、超长或联系方式非法</x:v>
      </x:c>
      <x:c r="I15" s="24" t="str">
        <x:v>连续提交 2 次</x:v>
      </x:c>
      <x:c r="J15" s="24" t="str">
        <x:v>校验失败后恢复</x:v>
      </x:c>
      <x:c r="K15" s="24" t="str">
        <x:v>请填写问题描述，并提供有效的联系方式。</x:v>
      </x:c>
      <x:c r="L15" s="24" t="str">
        <x:v>字段错误</x:v>
      </x:c>
      <x:c r="M15" s="24" t="str">
        <x:v>待实操；期望不生成无效工单，保留合法内容</x:v>
      </x:c>
      <x:c r="N15" s="24" t="str">
        <x:v>无</x:v>
      </x:c>
      <x:c r="O15" s="24" t="str">
        <x:v>校验结果</x:v>
      </x:c>
      <x:c r="P15" s="24" t="str">
        <x:v>修改后提交</x:v>
      </x:c>
      <x:c r="Q15" s="24" t="str">
        <x:v>待补 SUP-002</x:v>
      </x:c>
      <x:c r="R15" s="24" t="str"/>
    </x:row>
    <x:row r="16" ht="68" customHeight="1">
      <x:c r="A16" s="25" t="str">
        <x:v>SUP-003</x:v>
      </x:c>
      <x:c r="B16" s="25" t="str">
        <x:v>客服与帮助</x:v>
      </x:c>
      <x:c r="C16" s="25" t="str">
        <x:v>待实操</x:v>
      </x:c>
      <x:c r="D16" s="25" t="str">
        <x:v>P0</x:v>
      </x:c>
      <x:c r="E16" s="24" t="str">
        <x:v>运营成员</x:v>
      </x:c>
      <x:c r="F16" s="24" t="str">
        <x:v>当前客户端</x:v>
      </x:c>
      <x:c r="G16" s="24" t="str">
        <x:v>平台设备/IP</x:v>
      </x:c>
      <x:c r="H16" s="24" t="str">
        <x:v>附件超限或含日志/Cookie</x:v>
      </x:c>
      <x:c r="I16" s="24" t="str">
        <x:v>上传 2 个异常附件</x:v>
      </x:c>
      <x:c r="J16" s="24" t="str">
        <x:v>上传中禁用；阻断后可删除</x:v>
      </x:c>
      <x:c r="K16" s="24" t="str">
        <x:v>附件可能包含账号、Cookie 或本地路径等敏感信息，请确认脱敏后再提交。</x:v>
      </x:c>
      <x:c r="L16" s="24" t="str">
        <x:v>风险确认弹窗</x:v>
      </x:c>
      <x:c r="M16" s="24" t="str">
        <x:v>待实操；期望超限拒绝，敏感文件需明确确认</x:v>
      </x:c>
      <x:c r="N16" s="24" t="str">
        <x:v>无</x:v>
      </x:c>
      <x:c r="O16" s="24" t="str">
        <x:v>文件摘要、大小、确认人</x:v>
      </x:c>
      <x:c r="P16" s="24" t="str">
        <x:v>脱敏或删除附件</x:v>
      </x:c>
      <x:c r="Q16" s="24" t="str">
        <x:v>待补 SUP-003</x:v>
      </x:c>
      <x:c r="R16" s="24" t="str"/>
    </x:row>
    <x:row r="17" ht="68" customHeight="1">
      <x:c r="A17" s="25" t="str">
        <x:v>SUP-004</x:v>
      </x:c>
      <x:c r="B17" s="25" t="str">
        <x:v>客服与帮助</x:v>
      </x:c>
      <x:c r="C17" s="25" t="str">
        <x:v>待实操</x:v>
      </x:c>
      <x:c r="D17" s="25" t="str">
        <x:v>P0</x:v>
      </x:c>
      <x:c r="E17" s="24" t="str">
        <x:v>任意用户</x:v>
      </x:c>
      <x:c r="F17" s="24" t="str">
        <x:v>官网/当前客户端</x:v>
      </x:c>
      <x:c r="G17" s="24" t="str">
        <x:v>弱网/IP</x:v>
      </x:c>
      <x:c r="H17" s="24" t="str">
        <x:v>提交成功但响应丢失</x:v>
      </x:c>
      <x:c r="I17" s="24" t="str">
        <x:v>连击提交 3 次</x:v>
      </x:c>
      <x:c r="J17" s="24" t="str">
        <x:v>首次后禁用并显示提交中</x:v>
      </x:c>
      <x:c r="K17" s="24" t="str">
        <x:v>反馈正在提交，请勿重复操作。</x:v>
      </x:c>
      <x:c r="L17" s="24" t="str">
        <x:v>Toast</x:v>
      </x:c>
      <x:c r="M17" s="24" t="str">
        <x:v>待实操；期望只生成 1 个工单并返回唯一编号</x:v>
      </x:c>
      <x:c r="N17" s="24" t="str">
        <x:v>请求结束或 15s</x:v>
      </x:c>
      <x:c r="O17" s="24" t="str">
        <x:v>工单去重；成功只通知 1 次</x:v>
      </x:c>
      <x:c r="P17" s="24" t="str">
        <x:v>按编号查询</x:v>
      </x:c>
      <x:c r="Q17" s="24" t="str">
        <x:v>待补 SUP-004</x:v>
      </x:c>
      <x:c r="R17" s="24" t="str"/>
    </x:row>
    <x:row r="18" ht="68" customHeight="1">
      <x:c r="A18" s="25" t="str">
        <x:v>SUP-005</x:v>
      </x:c>
      <x:c r="B18" s="25" t="str">
        <x:v>客服与帮助</x:v>
      </x:c>
      <x:c r="C18" s="25" t="str">
        <x:v>待实操</x:v>
      </x:c>
      <x:c r="D18" s="25" t="str">
        <x:v>P0</x:v>
      </x:c>
      <x:c r="E18" s="24" t="str">
        <x:v>店铺管理员</x:v>
      </x:c>
      <x:c r="F18" s="24" t="str">
        <x:v>当前客户端</x:v>
      </x:c>
      <x:c r="G18" s="24" t="str">
        <x:v>平台设备/IP</x:v>
      </x:c>
      <x:c r="H18" s="24" t="str">
        <x:v>准备临时授权客服</x:v>
      </x:c>
      <x:c r="I18" s="24" t="str">
        <x:v>设范围和期限后授权</x:v>
      </x:c>
      <x:c r="J18" s="24" t="str">
        <x:v>未选期限时确认禁用</x:v>
      </x:c>
      <x:c r="K18" s="24" t="str">
        <x:v>客服将在 {开始时间}-{结束时间} 访问以下店铺和数据：{范围}。到期后自动撤销。</x:v>
      </x:c>
      <x:c r="L18" s="24" t="str">
        <x:v>高风险确认弹窗</x:v>
      </x:c>
      <x:c r="M18" s="24" t="str">
        <x:v>待实操；期望最小范围、强制到期、支持立即撤销</x:v>
      </x:c>
      <x:c r="N18" s="24" t="str">
        <x:v>撤销立即生效</x:v>
      </x:c>
      <x:c r="O18" s="24" t="str">
        <x:v>授权、访问、撤销全量审计；站内信</x:v>
      </x:c>
      <x:c r="P18" s="24" t="str">
        <x:v>可随时撤销</x:v>
      </x:c>
      <x:c r="Q18" s="24" t="str">
        <x:v>待补 SUP-005</x:v>
      </x:c>
      <x:c r="R18" s="24" t="str"/>
    </x:row>
    <x:row r="19" ht="68" customHeight="1">
      <x:c r="A19" s="25" t="str">
        <x:v>SUP-006</x:v>
      </x:c>
      <x:c r="B19" s="25" t="str">
        <x:v>客服与帮助</x:v>
      </x:c>
      <x:c r="C19" s="25" t="str">
        <x:v>待实操</x:v>
      </x:c>
      <x:c r="D19" s="25" t="str">
        <x:v>P1</x:v>
      </x:c>
      <x:c r="E19" s="24" t="str">
        <x:v>任意用户</x:v>
      </x:c>
      <x:c r="F19" s="24" t="str">
        <x:v>官网/当前客户端</x:v>
      </x:c>
      <x:c r="G19" s="24" t="str">
        <x:v>任意网络/IP</x:v>
      </x:c>
      <x:c r="H19" s="24" t="str">
        <x:v>客服离线或产品上下文错误</x:v>
      </x:c>
      <x:c r="I19" s="24" t="str">
        <x:v>连续咨询 2 次</x:v>
      </x:c>
      <x:c r="J19" s="24" t="str">
        <x:v>离线转留言</x:v>
      </x:c>
      <x:c r="K19" s="24" t="str">
        <x:v>当前暂无在线客服。请提交问题，我们将在服务时间内回复。</x:v>
      </x:c>
      <x:c r="L19" s="24" t="str">
        <x:v>离线弹窗</x:v>
      </x:c>
      <x:c r="M19" s="24" t="str">
        <x:v>待实操；期望携带产品、页面、账号和问题分类，避免串线</x:v>
      </x:c>
      <x:c r="N19" s="24" t="str">
        <x:v>60s 防重复</x:v>
      </x:c>
      <x:c r="O19" s="24" t="str">
        <x:v>留言工单；站内信</x:v>
      </x:c>
      <x:c r="P19" s="24" t="str">
        <x:v>等待回复或查帮助</x:v>
      </x:c>
      <x:c r="Q19" s="24" t="str">
        <x:v>待补 SUP-006</x:v>
      </x:c>
      <x:c r="R19" s="24" t="str"/>
    </x:row>
    <x:row r="20" ht="68" customHeight="1">
      <x:c r="A20" s="25" t="str">
        <x:v>MOB-001</x:v>
      </x:c>
      <x:c r="B20" s="25" t="str">
        <x:v>移动与可靠性</x:v>
      </x:c>
      <x:c r="C20" s="25" t="str">
        <x:v>待实操</x:v>
      </x:c>
      <x:c r="D20" s="25" t="str">
        <x:v>P0</x:v>
      </x:c>
      <x:c r="E20" s="24" t="str">
        <x:v>未激活子账号</x:v>
      </x:c>
      <x:c r="F20" s="24" t="str">
        <x:v>小程序当前版本</x:v>
      </x:c>
      <x:c r="G20" s="24" t="str">
        <x:v>手机/4G IP</x:v>
      </x:c>
      <x:c r="H20" s="24" t="str">
        <x:v>未在 PC 激活或未绑手机</x:v>
      </x:c>
      <x:c r="I20" s="24" t="str">
        <x:v>登录 2 次</x:v>
      </x:c>
      <x:c r="J20" s="24" t="str">
        <x:v>校验后显示处理入口</x:v>
      </x:c>
      <x:c r="K20" s="24" t="str">
        <x:v>该成员尚未完成 PC 端激活或手机绑定，请先完成后再使用移动端。</x:v>
      </x:c>
      <x:c r="L20" s="24" t="str">
        <x:v>阻断弹窗</x:v>
      </x:c>
      <x:c r="M20" s="24" t="str">
        <x:v>待实操；期望不创建移动会话、不泄露店铺信息</x:v>
      </x:c>
      <x:c r="N20" s="24" t="str">
        <x:v>验证码 60s</x:v>
      </x:c>
      <x:c r="O20" s="24" t="str">
        <x:v>登录失败；必要时通知管理员</x:v>
      </x:c>
      <x:c r="P20" s="24" t="str">
        <x:v>PC 激活并绑手机</x:v>
      </x:c>
      <x:c r="Q20" s="24" t="str">
        <x:v>待补 MOB-001</x:v>
      </x:c>
      <x:c r="R20" s="24" t="str"/>
    </x:row>
    <x:row r="21" ht="68" customHeight="1">
      <x:c r="A21" s="25" t="str">
        <x:v>MOB-002</x:v>
      </x:c>
      <x:c r="B21" s="25" t="str">
        <x:v>移动与可靠性</x:v>
      </x:c>
      <x:c r="C21" s="25" t="str">
        <x:v>待实操</x:v>
      </x:c>
      <x:c r="D21" s="25" t="str">
        <x:v>P1</x:v>
      </x:c>
      <x:c r="E21" s="24" t="str">
        <x:v>已登录成员</x:v>
      </x:c>
      <x:c r="F21" s="24" t="str">
        <x:v>小程序当前版本</x:v>
      </x:c>
      <x:c r="G21" s="24" t="str">
        <x:v>手机/Wi-Fi</x:v>
      </x:c>
      <x:c r="H21" s="24" t="str">
        <x:v>登录会话或二维码过期</x:v>
      </x:c>
      <x:c r="I21" s="24" t="str">
        <x:v>后台 10 分钟后继续</x:v>
      </x:c>
      <x:c r="J21" s="24" t="str">
        <x:v>原操作禁用，重新登录可用</x:v>
      </x:c>
      <x:c r="K21" s="24" t="str">
        <x:v>登录状态已过期，请重新验证身份。</x:v>
      </x:c>
      <x:c r="L21" s="24" t="str">
        <x:v>登录弹窗</x:v>
      </x:c>
      <x:c r="M21" s="24" t="str">
        <x:v>待实操；期望清除旧会话，不丢非敏感页面位置</x:v>
      </x:c>
      <x:c r="N21" s="24" t="str">
        <x:v>验证码 60s</x:v>
      </x:c>
      <x:c r="O21" s="24" t="str">
        <x:v>会话过期；异常登录可发短信</x:v>
      </x:c>
      <x:c r="P21" s="24" t="str">
        <x:v>重新登录</x:v>
      </x:c>
      <x:c r="Q21" s="24" t="str">
        <x:v>待补 MOB-002</x:v>
      </x:c>
      <x:c r="R21" s="24" t="str"/>
    </x:row>
    <x:row r="22" ht="68" customHeight="1">
      <x:c r="A22" s="25" t="str">
        <x:v>MOB-003</x:v>
      </x:c>
      <x:c r="B22" s="25" t="str">
        <x:v>移动与可靠性</x:v>
      </x:c>
      <x:c r="C22" s="25" t="str">
        <x:v>待实操</x:v>
      </x:c>
      <x:c r="D22" s="25" t="str">
        <x:v>P0</x:v>
      </x:c>
      <x:c r="E22" s="24" t="str">
        <x:v>运营成员</x:v>
      </x:c>
      <x:c r="F22" s="24" t="str">
        <x:v>小程序当前版本</x:v>
      </x:c>
      <x:c r="G22" s="24" t="str">
        <x:v>手机/过期平台设备 IP</x:v>
      </x:c>
      <x:c r="H22" s="24" t="str">
        <x:v>有店铺授权但设备已过期</x:v>
      </x:c>
      <x:c r="I22" s="24" t="str">
        <x:v>远程启动 2 次</x:v>
      </x:c>
      <x:c r="J22" s="24" t="str">
        <x:v>启动禁用或校验后停止</x:v>
      </x:c>
      <x:c r="K22" s="24" t="str">
        <x:v>店铺绑定的设备已失效，暂时无法启动。请联系管理员续费或更换设备。</x:v>
      </x:c>
      <x:c r="L22" s="24" t="str">
        <x:v>阻断弹窗</x:v>
      </x:c>
      <x:c r="M22" s="24" t="str">
        <x:v>待实操；期望不打开无网络环境，并提供管理员路径</x:v>
      </x:c>
      <x:c r="N22" s="24" t="str">
        <x:v>无</x:v>
      </x:c>
      <x:c r="O22" s="24" t="str">
        <x:v>店铺、设备状态；站内信管理员</x:v>
      </x:c>
      <x:c r="P22" s="24" t="str">
        <x:v>续费或换设备</x:v>
      </x:c>
      <x:c r="Q22" s="24" t="str">
        <x:v>待补 MOB-003</x:v>
      </x:c>
      <x:c r="R22" s="24" t="str"/>
    </x:row>
    <x:row r="23" ht="68" customHeight="1">
      <x:c r="A23" s="25" t="str">
        <x:v>MOB-004</x:v>
      </x:c>
      <x:c r="B23" s="25" t="str">
        <x:v>移动与可靠性</x:v>
      </x:c>
      <x:c r="C23" s="25" t="str">
        <x:v>待实操</x:v>
      </x:c>
      <x:c r="D23" s="25" t="str">
        <x:v>P0</x:v>
      </x:c>
      <x:c r="E23" s="24" t="str">
        <x:v>两名运营成员</x:v>
      </x:c>
      <x:c r="F23" s="24" t="str">
        <x:v>小程序 + 当前桌面客户端</x:v>
      </x:c>
      <x:c r="G23" s="24" t="str">
        <x:v>同店铺/同 IP</x:v>
      </x:c>
      <x:c r="H23" s="24" t="str">
        <x:v>店铺并发名额已满</x:v>
      </x:c>
      <x:c r="I23" s="24" t="str">
        <x:v>桌面与移动同时启动</x:v>
      </x:c>
      <x:c r="J23" s="24" t="str">
        <x:v>后发起端停止 Loading</x:v>
      </x:c>
      <x:c r="K23" s="24" t="str">
        <x:v>该店铺当前使用人数已达上限，请稍后重试。</x:v>
      </x:c>
      <x:c r="L23" s="24" t="str">
        <x:v>Toast/弹窗</x:v>
      </x:c>
      <x:c r="M23" s="24" t="str">
        <x:v>待实操；期望不超并发，不无提示踢出既有会话</x:v>
      </x:c>
      <x:c r="N23" s="24" t="str">
        <x:v>建议 5s 后重试</x:v>
      </x:c>
      <x:c r="O23" s="24" t="str">
        <x:v>会话占用、拒绝原因</x:v>
      </x:c>
      <x:c r="P23" s="24" t="str">
        <x:v>释放名额后重试</x:v>
      </x:c>
      <x:c r="Q23" s="24" t="str">
        <x:v>待补 MOB-004</x:v>
      </x:c>
      <x:c r="R23" s="24" t="str"/>
    </x:row>
    <x:row r="24" ht="68" customHeight="1">
      <x:c r="A24" s="25" t="str">
        <x:v>REL-001</x:v>
      </x:c>
      <x:c r="B24" s="25" t="str">
        <x:v>移动与可靠性</x:v>
      </x:c>
      <x:c r="C24" s="25" t="str">
        <x:v>待实操</x:v>
      </x:c>
      <x:c r="D24" s="25" t="str">
        <x:v>P0</x:v>
      </x:c>
      <x:c r="E24" s="24" t="str">
        <x:v>任意登录用户</x:v>
      </x:c>
      <x:c r="F24" s="24" t="str">
        <x:v>桌面客户端/小程序当前版本</x:v>
      </x:c>
      <x:c r="G24" s="24" t="str">
        <x:v>Wi-Fi 切 4G</x:v>
      </x:c>
      <x:c r="H24" s="24" t="str">
        <x:v>表单提交或任务执行中</x:v>
      </x:c>
      <x:c r="I24" s="24" t="str">
        <x:v>断网 30 秒后恢复</x:v>
      </x:c>
      <x:c r="J24" s="24" t="str">
        <x:v>显示重连中，不允许重复提交</x:v>
      </x:c>
      <x:c r="K24" s="24" t="str">
        <x:v>网络连接已中断，正在尝试恢复。请勿重复操作。</x:v>
      </x:c>
      <x:c r="L24" s="24" t="str">
        <x:v>顶部持续状态条</x:v>
      </x:c>
      <x:c r="M24" s="24" t="str">
        <x:v>待实操；期望恢复后查询原请求，不重复写入</x:v>
      </x:c>
      <x:c r="N24" s="24" t="str">
        <x:v>指数退避，最长 60s</x:v>
      </x:c>
      <x:c r="O24" s="24" t="str">
        <x:v>断网、重连、最终状态</x:v>
      </x:c>
      <x:c r="P24" s="24" t="str">
        <x:v>自动恢复或人工重试</x:v>
      </x:c>
      <x:c r="Q24" s="24" t="str">
        <x:v>待补 REL-001</x:v>
      </x:c>
      <x:c r="R24" s="24" t="str"/>
    </x:row>
    <x:row r="25" ht="68" customHeight="1">
      <x:c r="A25" s="25" t="str">
        <x:v>REL-002</x:v>
      </x:c>
      <x:c r="B25" s="25" t="str">
        <x:v>移动与可靠性</x:v>
      </x:c>
      <x:c r="C25" s="25" t="str">
        <x:v>待实操</x:v>
      </x:c>
      <x:c r="D25" s="25" t="str">
        <x:v>P0</x:v>
      </x:c>
      <x:c r="E25" s="24" t="str">
        <x:v>任意登录用户</x:v>
      </x:c>
      <x:c r="F25" s="24" t="str">
        <x:v>当前桌面客户端</x:v>
      </x:c>
      <x:c r="G25" s="24" t="str">
        <x:v>当前设备/IP</x:v>
      </x:c>
      <x:c r="H25" s="24" t="str">
        <x:v>关键表单已填写</x:v>
      </x:c>
      <x:c r="I25" s="24" t="str">
        <x:v>强制退出/崩溃/升级重启各 1 次</x:v>
      </x:c>
      <x:c r="J25" s="24" t="str">
        <x:v>重启后提供恢复草稿</x:v>
      </x:c>
      <x:c r="K25" s="24" t="str">
        <x:v>检测到上次操作未完成，已恢复草稿。请确认后重新提交。</x:v>
      </x:c>
      <x:c r="L25" s="24" t="str">
        <x:v>恢复弹窗</x:v>
      </x:c>
      <x:c r="M25" s="24" t="str">
        <x:v>待实操；期望只恢复非敏感字段，支付/授权等动作不自动重放</x:v>
      </x:c>
      <x:c r="N25" s="24" t="str">
        <x:v>无</x:v>
      </x:c>
      <x:c r="O25" s="24" t="str">
        <x:v>崩溃、恢复日志</x:v>
      </x:c>
      <x:c r="P25" s="24" t="str">
        <x:v>确认后继续</x:v>
      </x:c>
      <x:c r="Q25" s="24" t="str">
        <x:v>待补 REL-002</x:v>
      </x:c>
      <x:c r="R25" s="24" t="str"/>
    </x:row>
  </x:sheetData>
  <x:mergeCells>
    <x:mergeCell ref="A1:R1"/>
    <x:mergeCell ref="A2:R2"/>
  </x:mergeCells>
  <x:conditionalFormatting sqref="C5:C25">
    <x:cfRule type="containsText" dxfId="30" priority="1" operator="containsText" text="已实操"/>
    <x:cfRule type="containsText" dxfId="31" priority="2" operator="containsText" text="待实操"/>
    <x:cfRule type="containsText" dxfId="32" priority="3" operator="containsText" text="部分实操"/>
  </x:conditionalFormatting>
  <x:conditionalFormatting sqref="D5:D25">
    <x:cfRule type="containsText" dxfId="33" priority="4" operator="containsText" text="P0"/>
    <x:cfRule type="containsText" dxfId="34" priority="5" operator="containsText" text="P1"/>
    <x:cfRule type="containsText" dxfId="35" priority="6" operator="containsText" text="P2"/>
  </x:conditionalFormatting>
  <x:dataValidations count="2">
    <x:dataValidation type="list" sqref="C5:C25">
      <x:formula1>"待实操,部分实操,已实操,已实操，重点"</x:formula1>
    </x:dataValidation>
    <x:dataValidation type="list" sqref="D5:D25">
      <x:formula1>"P0,P1,P2"</x:formula1>
    </x:dataValidation>
  </x:dataValidations>
  <x:pageMargins left="0.7" right="0.7" top="0.75" bottom="0.75" header="0.3" footer="0.3"/>
  <x:tableParts count="1">
    <x:tablePart xmlns:r="http://schemas.openxmlformats.org/officeDocument/2006/relationships" r:id="Ra6cf8f1caa8d48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4" hidden="0" customWidth="1"/>
    <x:col min="4" max="4" width="9" hidden="0" customWidth="1"/>
    <x:col min="5" max="5" width="20" hidden="0" customWidth="1"/>
    <x:col min="6" max="6" width="24" hidden="0" customWidth="1"/>
    <x:col min="7" max="7" width="24" hidden="0" customWidth="1"/>
    <x:col min="8" max="8" width="28" hidden="0" customWidth="1"/>
    <x:col min="9" max="9" width="25" hidden="0" customWidth="1"/>
    <x:col min="10" max="10" width="31" hidden="0" customWidth="1"/>
    <x:col min="11" max="11" width="42" hidden="0" customWidth="1"/>
    <x:col min="12" max="12" width="18" hidden="0" customWidth="1"/>
    <x:col min="13" max="13" width="44" hidden="0" customWidth="1"/>
    <x:col min="14" max="14" width="20" hidden="0" customWidth="1"/>
    <x:col min="15" max="15" width="34" hidden="0" customWidth="1"/>
    <x:col min="16" max="16" width="30" hidden="0" customWidth="1"/>
    <x:col min="17" max="17" width="36" hidden="0" customWidth="1"/>
    <x:col min="18" max="18" width="48" hidden="0" customWidth="1"/>
  </x:cols>
  <x:sheetData>
    <x:row r="1" ht="32" customHeight="1">
      <x:c r="A1" s="3" t="str">
        <x:v>异常实操场景总表</x:v>
      </x:c>
      <x:c r="B1" s="3"/>
      <x:c r="C1" s="3"/>
      <x:c r="D1" s="3"/>
      <x:c r="E1" s="3"/>
      <x:c r="F1" s="3"/>
      <x:c r="G1" s="3"/>
      <x:c r="H1" s="3"/>
      <x:c r="I1" s="3"/>
      <x:c r="J1" s="3"/>
      <x:c r="K1" s="3"/>
      <x:c r="L1" s="3"/>
      <x:c r="M1" s="3"/>
      <x:c r="N1" s="3"/>
      <x:c r="O1" s="3"/>
      <x:c r="P1" s="3"/>
      <x:c r="Q1" s="3"/>
      <x:c r="R1" s="3"/>
    </x:row>
    <x:row r="2" ht="34" customHeight="1">
      <x:c r="A2" s="7" t="str">
        <x:v>175 条场景统一汇总；可按模块、实操状态、优先级、角色和版本筛选。</x:v>
      </x:c>
      <x:c r="B2" s="7"/>
      <x:c r="C2" s="7"/>
      <x:c r="D2" s="7"/>
      <x:c r="E2" s="7"/>
      <x:c r="F2" s="7"/>
      <x:c r="G2" s="7"/>
      <x:c r="H2" s="7"/>
      <x:c r="I2" s="7"/>
      <x:c r="J2" s="7"/>
      <x:c r="K2" s="7"/>
      <x:c r="L2" s="7"/>
      <x:c r="M2" s="7"/>
      <x:c r="N2" s="7"/>
      <x:c r="O2" s="7"/>
      <x:c r="P2" s="7"/>
      <x:c r="Q2" s="7"/>
      <x:c r="R2" s="7"/>
    </x:row>
    <x:row r="4" ht="34" customHeight="1">
      <x:c r="A4" s="19" t="str">
        <x:v>场景ID</x:v>
      </x:c>
      <x:c r="B4" s="20" t="str">
        <x:v>模块</x:v>
      </x:c>
      <x:c r="C4" s="20" t="str">
        <x:v>实操状态</x:v>
      </x:c>
      <x:c r="D4" s="20" t="str">
        <x:v>优先级</x:v>
      </x:c>
      <x:c r="E4" s="20" t="str">
        <x:v>账号与角色</x:v>
      </x:c>
      <x:c r="F4" s="20" t="str">
        <x:v>客户端/网页版本</x:v>
      </x:c>
      <x:c r="G4" s="20" t="str">
        <x:v>设备/IP</x:v>
      </x:c>
      <x:c r="H4" s="20" t="str">
        <x:v>前置状态</x:v>
      </x:c>
      <x:c r="I4" s="20" t="str">
        <x:v>操作次数与并发数</x:v>
      </x:c>
      <x:c r="J4" s="20" t="str">
        <x:v>按钮状态</x:v>
      </x:c>
      <x:c r="K4" s="20" t="str">
        <x:v>完整错误文案</x:v>
      </x:c>
      <x:c r="L4" s="20" t="str">
        <x:v>Toast/弹窗</x:v>
      </x:c>
      <x:c r="M4" s="20" t="str">
        <x:v>实际业务结果</x:v>
      </x:c>
      <x:c r="N4" s="20" t="str">
        <x:v>冷却时间</x:v>
      </x:c>
      <x:c r="O4" s="20" t="str">
        <x:v>日志/消息/短信</x:v>
      </x:c>
      <x:c r="P4" s="20" t="str">
        <x:v>是否可恢复</x:v>
      </x:c>
      <x:c r="Q4" s="20" t="str">
        <x:v>截图或录屏</x:v>
      </x:c>
      <x:c r="R4" s="21" t="str">
        <x:v>产品设计判断</x:v>
      </x:c>
    </x:row>
    <x:row r="5" ht="68" customHeight="1">
      <x:c r="A5" s="25" t="str">
        <x:v>ACT-DL-001</x:v>
      </x:c>
      <x:c r="B5" s="25" t="str">
        <x:v>下载与更新</x:v>
      </x:c>
      <x:c r="C5" s="25" t="str">
        <x:v>已实操，重点</x:v>
      </x:c>
      <x:c r="D5" s="25" t="str"/>
      <x:c r="E5" s="24" t="str">
        <x:v>官网访客</x:v>
      </x:c>
      <x:c r="F5" s="24" t="str">
        <x:v>官网下载页；日期/构建未记录</x:v>
      </x:c>
      <x:c r="G5" s="24" t="str">
        <x:v>设备与出口 IP 未记录</x:v>
      </x:c>
      <x:c r="H5" s="24" t="str">
        <x:v>页面可正常下载客户端</x:v>
      </x:c>
      <x:c r="I5" s="24" t="str">
        <x:v>串行点击 56 次；并发数未记录</x:v>
      </x:c>
      <x:c r="J5" s="24" t="str">
        <x:v>点击后仍可继续点击和下载</x:v>
      </x:c>
      <x:c r="K5" s="24" t="str">
        <x:v>无</x:v>
      </x:c>
      <x:c r="L5" s="24" t="str">
        <x:v>无可见 Toast 或弹窗</x:v>
      </x:c>
      <x:c r="M5" s="24" t="str">
        <x:v>56 次操作过程中未出现前端拦截，下载仍可继续；实际生成文件数待补</x:v>
      </x:c>
      <x:c r="N5" s="24" t="str">
        <x:v>未观察到冷却</x:v>
      </x:c>
      <x:c r="O5" s="24" t="str">
        <x:v>浏览器下载记录、CDN 请求数未采集</x:v>
      </x:c>
      <x:c r="P5" s="24" t="str">
        <x:v>可继续下载</x:v>
      </x:c>
      <x:c r="Q5" s="24" t="str">
        <x:v>待补用户截图/录屏</x:v>
      </x:c>
      <x:c r="R5" s="24" t="str">
        <x:v>首次点击后应进入正在准备下载，同版本重复点击应合并；提示下载已开始，请勿重复点击。限流目标应是防重复任务和资源滥用，不应无理由阻断正常重新下载。</x:v>
      </x:c>
    </x:row>
    <x:row r="6" ht="68" customHeight="1">
      <x:c r="A6" s="25" t="str">
        <x:v>ACT-SMS-001</x:v>
      </x:c>
      <x:c r="B6" s="25" t="str">
        <x:v>注册与短信</x:v>
      </x:c>
      <x:c r="C6" s="25" t="str">
        <x:v>已实操，重点</x:v>
      </x:c>
      <x:c r="D6" s="25" t="str"/>
      <x:c r="E6" s="24" t="str">
        <x:v>官网访客/待注册用户</x:v>
      </x:c>
      <x:c r="F6" s="24" t="str">
        <x:v>注册弹窗或注册页；具体版本未记录</x:v>
      </x:c>
      <x:c r="G6" s="24" t="str">
        <x:v>同一设备、同一 IP、同一手机号码；具体值未记录</x:v>
      </x:c>
      <x:c r="H6" s="24" t="str">
        <x:v>手机号码格式有效，可进入取码流程</x:v>
      </x:c>
      <x:c r="I6" s="24" t="str">
        <x:v>每次等待 60 秒结束后再次获取；总次数待补；串行 1 并发</x:v>
      </x:c>
      <x:c r="J6" s="24" t="str">
        <x:v>发送后 60 秒倒计时，结束后恢复获取</x:v>
      </x:c>
      <x:c r="K6" s="24" t="str">
        <x:v>未触发错误文案</x:v>
      </x:c>
      <x:c r="L6" s="24" t="str">
        <x:v>未触发图形验证、次数限制或更长时间限制</x:v>
      </x:c>
      <x:c r="M6" s="24" t="str">
        <x:v>每轮倒计时结束后仍可再次发起取码；每条短信送达情况待短信记录补齐</x:v>
      </x:c>
      <x:c r="N6" s="24" t="str">
        <x:v>每轮 60 秒；未观察到额外冷却</x:v>
      </x:c>
      <x:c r="O6" s="24" t="str">
        <x:v>短信条数、模板、发送时间和供应商回执待补</x:v>
      </x:c>
      <x:c r="P6" s="24" t="str">
        <x:v>倒计时结束后可恢复</x:v>
      </x:c>
      <x:c r="Q6" s="24" t="str">
        <x:v>待补取码全程录屏和短信列表</x:v>
      </x:c>
      <x:c r="R6" s="24" t="str">
        <x:v>除 60 秒单次冷却外，还应设置手机号码、设备和 IP 的滑动窗口阈值；达到阈值后给出准确恢复时间并按风险触发人机验证。</x:v>
      </x:c>
    </x:row>
    <x:row r="7" ht="68" customHeight="1">
      <x:c r="A7" s="25" t="str">
        <x:v>ACT-SMS-002</x:v>
      </x:c>
      <x:c r="B7" s="25" t="str">
        <x:v>注册与短信</x:v>
      </x:c>
      <x:c r="C7" s="25" t="str">
        <x:v>已实操，重点</x:v>
      </x:c>
      <x:c r="D7" s="25" t="str"/>
      <x:c r="E7" s="24" t="str">
        <x:v>官网访客/待注册用户</x:v>
      </x:c>
      <x:c r="F7" s="24" t="str">
        <x:v>同一窗口内的注册弹窗与注册页面；具体版本未记录</x:v>
      </x:c>
      <x:c r="G7" s="24" t="str">
        <x:v>同一设备、同一 IP、同一手机号码</x:v>
      </x:c>
      <x:c r="H7" s="24" t="str">
        <x:v>一个注册区块已发送验证码且 60 秒倒计时未结束</x:v>
      </x:c>
      <x:c r="I7" s="24" t="str">
        <x:v>两个区块并发取码；并发 2</x:v>
      </x:c>
      <x:c r="J7" s="24" t="str">
        <x:v>第二入口按钮变为获取中…</x:v>
      </x:c>
      <x:c r="K7" s="24" t="str">
        <x:v>短信验证码发送频繁</x:v>
      </x:c>
      <x:c r="L7" s="24" t="str">
        <x:v>Toast</x:v>
      </x:c>
      <x:c r="M7" s="24" t="str">
        <x:v>第二个并发短信请求被拦截；第一个区块倒计时继续</x:v>
      </x:c>
      <x:c r="N7" s="24" t="str">
        <x:v>未记录；Toast 未告知具体恢复时间</x:v>
      </x:c>
      <x:c r="O7" s="24" t="str">
        <x:v>第二条短信是否未发送需用短信列表和网络日志确认</x:v>
      </x:c>
      <x:c r="P7" s="24" t="str">
        <x:v>待实测；原区块倒计时继续</x:v>
      </x:c>
      <x:c r="Q7" s="24" t="str">
        <x:v>待补双入口并发录屏</x:v>
      </x:c>
      <x:c r="R7" s="24" t="str">
        <x:v>文案应补充恢复动作，例如验证码正在发送，请勿重复操作或请求过于频繁，请在 60 秒后重试；所有注册入口应共享服务端状态。</x:v>
      </x:c>
    </x:row>
    <x:row r="8" ht="68" customHeight="1">
      <x:c r="A8" s="25" t="str">
        <x:v>ACT-SMS-003</x:v>
      </x:c>
      <x:c r="B8" s="25" t="str">
        <x:v>注册与短信</x:v>
      </x:c>
      <x:c r="C8" s="25" t="str">
        <x:v>已实操，重点</x:v>
      </x:c>
      <x:c r="D8" s="25" t="str"/>
      <x:c r="E8" s="24" t="str">
        <x:v>官网访客/待注册用户</x:v>
      </x:c>
      <x:c r="F8" s="24" t="str">
        <x:v>注册弹窗或注册页；具体版本未记录</x:v>
      </x:c>
      <x:c r="G8" s="24" t="str">
        <x:v>同一设备、同一 IP、不同手机号码</x:v>
      </x:c>
      <x:c r="H8" s="24" t="str">
        <x:v>两个号码均为可取码格式</x:v>
      </x:c>
      <x:c r="I8" s="24" t="str">
        <x:v>不同号码并发；并发数和轮次待补</x:v>
      </x:c>
      <x:c r="J8" s="24" t="str">
        <x:v>两个入口均可继续获取</x:v>
      </x:c>
      <x:c r="K8" s="24" t="str">
        <x:v>无</x:v>
      </x:c>
      <x:c r="L8" s="24" t="str">
        <x:v>无可见限制</x:v>
      </x:c>
      <x:c r="M8" s="24" t="str">
        <x:v>当前样本未触发并发限制；实际短信送达条数待补</x:v>
      </x:c>
      <x:c r="N8" s="24" t="str">
        <x:v>各号码独立 60 秒</x:v>
      </x:c>
      <x:c r="O8" s="24" t="str">
        <x:v>短信和服务端请求日志未采集</x:v>
      </x:c>
      <x:c r="P8" s="24" t="str">
        <x:v>可继续操作</x:v>
      </x:c>
      <x:c r="Q8" s="24" t="str">
        <x:v>待补并发录屏和短信列表</x:v>
      </x:c>
      <x:c r="R8" s="24" t="str">
        <x:v>合理规则不应仅按手机号限流，还需设备/IP 风险阈值；但不能因同 IP 正常多人使用而简单一刀切，应使用分层阈值和人机验证。</x:v>
      </x:c>
    </x:row>
    <x:row r="9" ht="68" customHeight="1">
      <x:c r="A9" s="25" t="str">
        <x:v>ACT-REG-001</x:v>
      </x:c>
      <x:c r="B9" s="25" t="str">
        <x:v>注册与短信</x:v>
      </x:c>
      <x:c r="C9" s="25" t="str">
        <x:v>已实操</x:v>
      </x:c>
      <x:c r="D9" s="25" t="str"/>
      <x:c r="E9" s="24" t="str">
        <x:v>官网访客</x:v>
      </x:c>
      <x:c r="F9" s="24" t="str">
        <x:v>官网注册表单；具体版本未记录</x:v>
      </x:c>
      <x:c r="G9" s="24" t="str">
        <x:v>设备/IP 未记录</x:v>
      </x:c>
      <x:c r="H9" s="24" t="str">
        <x:v>手机号码格式不合法</x:v>
      </x:c>
      <x:c r="I9" s="24" t="str">
        <x:v>每种非法格式次数待补</x:v>
      </x:c>
      <x:c r="J9" s="24" t="str">
        <x:v>获取验证码或提交后保持可编辑</x:v>
      </x:c>
      <x:c r="K9" s="24" t="str">
        <x:v>请输入正确的手机号码；前序官网实测还出现过请输入正确的手机号，需按版本复核</x:v>
      </x:c>
      <x:c r="L9" s="24" t="str">
        <x:v>字段错误或页面提示</x:v>
      </x:c>
      <x:c r="M9" s="24" t="str">
        <x:v>未发起有效注册/取码</x:v>
      </x:c>
      <x:c r="N9" s="24" t="str">
        <x:v>无</x:v>
      </x:c>
      <x:c r="O9" s="24" t="str">
        <x:v>无短信</x:v>
      </x:c>
      <x:c r="P9" s="24" t="str">
        <x:v>修改输入后可恢复</x:v>
      </x:c>
      <x:c r="Q9" s="24" t="str">
        <x:v>已有空提交截图
/Users/zhangbin/Desktop/灵匠/云登pc端/research/netease-kuajing/screenshots/desktop-hero-form-empty-submit.png</x:v>
      </x:c>
      <x:c r="R9" s="24" t="str">
        <x:v>官网内部也应统一为一种文案。推荐空值请输入手机号码，格式错误手机号码格式不正确，避免把两类错误合并。</x:v>
      </x:c>
    </x:row>
    <x:row r="10" ht="68" customHeight="1">
      <x:c r="A10" s="25" t="str">
        <x:v>ACT-REG-002</x:v>
      </x:c>
      <x:c r="B10" s="25" t="str">
        <x:v>注册与短信</x:v>
      </x:c>
      <x:c r="C10" s="25" t="str">
        <x:v>已实操</x:v>
      </x:c>
      <x:c r="D10" s="25" t="str"/>
      <x:c r="E10" s="24" t="str">
        <x:v>客户端访客</x:v>
      </x:c>
      <x:c r="F10" s="24" t="str">
        <x:v>客户端具体版本/构建未记录</x:v>
      </x:c>
      <x:c r="G10" s="24" t="str">
        <x:v>操作系统、设备/IP 未记录</x:v>
      </x:c>
      <x:c r="H10" s="24" t="str">
        <x:v>手机号码格式不合法</x:v>
      </x:c>
      <x:c r="I10" s="24" t="str">
        <x:v>次数待补</x:v>
      </x:c>
      <x:c r="J10" s="24" t="str">
        <x:v>具体按钮状态未记录</x:v>
      </x:c>
      <x:c r="K10" s="24" t="str">
        <x:v>手机号码格式不正确</x:v>
      </x:c>
      <x:c r="L10" s="24" t="str">
        <x:v>字段错误</x:v>
      </x:c>
      <x:c r="M10" s="24" t="str">
        <x:v>未发起有效注册/取码</x:v>
      </x:c>
      <x:c r="N10" s="24" t="str">
        <x:v>无</x:v>
      </x:c>
      <x:c r="O10" s="24" t="str">
        <x:v>无短信</x:v>
      </x:c>
      <x:c r="P10" s="24" t="str">
        <x:v>修改输入后可恢复</x:v>
      </x:c>
      <x:c r="Q10" s="24" t="str">
        <x:v>待补客户端截图</x:v>
      </x:c>
      <x:c r="R10" s="24" t="str">
        <x:v>该文案比官网“请输入正确的手机号码”更准确，建议网页端统一采用。</x:v>
      </x:c>
    </x:row>
    <x:row r="11" ht="68" customHeight="1">
      <x:c r="A11" s="25" t="str">
        <x:v>ACT-REG-003</x:v>
      </x:c>
      <x:c r="B11" s="25" t="str">
        <x:v>注册与短信</x:v>
      </x:c>
      <x:c r="C11" s="25" t="str">
        <x:v>已实操</x:v>
      </x:c>
      <x:c r="D11" s="25" t="str"/>
      <x:c r="E11" s="24" t="str">
        <x:v>官网或客户端访客</x:v>
      </x:c>
      <x:c r="F11" s="24" t="str">
        <x:v>具体端与版本待补</x:v>
      </x:c>
      <x:c r="G11" s="24" t="str">
        <x:v>设备/IP 未记录</x:v>
      </x:c>
      <x:c r="H11" s="24" t="str">
        <x:v>手机号码为空</x:v>
      </x:c>
      <x:c r="I11" s="24" t="str">
        <x:v>次数待补</x:v>
      </x:c>
      <x:c r="J11" s="24" t="str">
        <x:v>提交后表单仍可继续操作；焦点位置未记录</x:v>
      </x:c>
      <x:c r="K11" s="24" t="str">
        <x:v>请输入手机号码</x:v>
      </x:c>
      <x:c r="L11" s="24" t="str">
        <x:v>字段错误</x:v>
      </x:c>
      <x:c r="M11" s="24" t="str">
        <x:v>未发起有效注册/取码</x:v>
      </x:c>
      <x:c r="N11" s="24" t="str">
        <x:v>无</x:v>
      </x:c>
      <x:c r="O11" s="24" t="str">
        <x:v>无短信</x:v>
      </x:c>
      <x:c r="P11" s="24" t="str">
        <x:v>输入号码后可恢复</x:v>
      </x:c>
      <x:c r="Q11" s="24" t="str">
        <x:v>待补截图</x:v>
      </x:c>
      <x:c r="R11" s="24" t="str">
        <x:v>文案符合“空值”场景；不应与格式错误共用同一提示。</x:v>
      </x:c>
    </x:row>
    <x:row r="12" ht="68" customHeight="1">
      <x:c r="A12" s="25" t="str">
        <x:v>ACT-REG-004</x:v>
      </x:c>
      <x:c r="B12" s="25" t="str">
        <x:v>注册与短信</x:v>
      </x:c>
      <x:c r="C12" s="25" t="str">
        <x:v>已实操</x:v>
      </x:c>
      <x:c r="D12" s="25" t="str"/>
      <x:c r="E12" s="24" t="str">
        <x:v>官网或客户端访客</x:v>
      </x:c>
      <x:c r="F12" s="24" t="str">
        <x:v>具体端与版本待补</x:v>
      </x:c>
      <x:c r="G12" s="24" t="str">
        <x:v>设备/IP 未记录</x:v>
      </x:c>
      <x:c r="H12" s="24" t="str">
        <x:v>已输入短信验证码，但验证码错误</x:v>
      </x:c>
      <x:c r="I12" s="24" t="str">
        <x:v>错误次数待补</x:v>
      </x:c>
      <x:c r="J12" s="24" t="str">
        <x:v>表单可继续操作；按钮状态和失败累计未记录</x:v>
      </x:c>
      <x:c r="K12" s="24" t="str">
        <x:v>验证码错误，请重新输入</x:v>
      </x:c>
      <x:c r="L12" s="24" t="str">
        <x:v>字段错误或 Toast，位置待补</x:v>
      </x:c>
      <x:c r="M12" s="24" t="str">
        <x:v>注册未成功</x:v>
      </x:c>
      <x:c r="N12" s="24" t="str">
        <x:v>是否有失败阈值/冷却未记录</x:v>
      </x:c>
      <x:c r="O12" s="24" t="str">
        <x:v>未记录是否产生安全消息</x:v>
      </x:c>
      <x:c r="P12" s="24" t="str">
        <x:v>可重新输入或重新取码</x:v>
      </x:c>
      <x:c r="Q12" s="24" t="str">
        <x:v>待补截图/录屏</x:v>
      </x:c>
      <x:c r="R12" s="24" t="str">
        <x:v>建议统一为短信验证码错误或已失效；连续 5 次错误后使当前验证码失效，并提示重新获取，不能无限试码。</x:v>
      </x:c>
    </x:row>
    <x:row r="13" ht="68" customHeight="1">
      <x:c r="A13" s="25" t="str">
        <x:v>ACT-REG-005</x:v>
      </x:c>
      <x:c r="B13" s="25" t="str">
        <x:v>注册与短信</x:v>
      </x:c>
      <x:c r="C13" s="25" t="str">
        <x:v>已实操</x:v>
      </x:c>
      <x:c r="D13" s="25" t="str"/>
      <x:c r="E13" s="24" t="str">
        <x:v>官网访客</x:v>
      </x:c>
      <x:c r="F13" s="24" t="str">
        <x:v>官网注册表单；具体版本未记录</x:v>
      </x:c>
      <x:c r="G13" s="24" t="str">
        <x:v>设备/IP 未记录</x:v>
      </x:c>
      <x:c r="H13" s="24" t="str">
        <x:v>短信验证码为空</x:v>
      </x:c>
      <x:c r="I13" s="24" t="str">
        <x:v>次数待补</x:v>
      </x:c>
      <x:c r="J13" s="24" t="str">
        <x:v>具体按钮状态未记录</x:v>
      </x:c>
      <x:c r="K13" s="24" t="str">
        <x:v>请输入6位验证码</x:v>
      </x:c>
      <x:c r="L13" s="24" t="str">
        <x:v>字段错误</x:v>
      </x:c>
      <x:c r="M13" s="24" t="str">
        <x:v>注册未成功</x:v>
      </x:c>
      <x:c r="N13" s="24" t="str">
        <x:v>无</x:v>
      </x:c>
      <x:c r="O13" s="24" t="str">
        <x:v>无短信变化</x:v>
      </x:c>
      <x:c r="P13" s="24" t="str">
        <x:v>输入验证码后可恢复</x:v>
      </x:c>
      <x:c r="Q13" s="24" t="str">
        <x:v>已有空提交截图
/Users/zhangbin/Desktop/灵匠/云登pc端/research/netease-kuajing/screenshots/desktop-hero-form-empty-submit.png</x:v>
      </x:c>
      <x:c r="R13" s="24" t="str">
        <x:v>推荐统一为请输入 6 位短信验证码，同时表达长度和字段含义。</x:v>
      </x:c>
    </x:row>
    <x:row r="14" ht="68" customHeight="1">
      <x:c r="A14" s="25" t="str">
        <x:v>ACT-REG-006</x:v>
      </x:c>
      <x:c r="B14" s="25" t="str">
        <x:v>注册与短信</x:v>
      </x:c>
      <x:c r="C14" s="25" t="str">
        <x:v>已实操</x:v>
      </x:c>
      <x:c r="D14" s="25" t="str"/>
      <x:c r="E14" s="24" t="str">
        <x:v>客户端访客</x:v>
      </x:c>
      <x:c r="F14" s="24" t="str">
        <x:v>客户端具体版本/构建未记录</x:v>
      </x:c>
      <x:c r="G14" s="24" t="str">
        <x:v>操作系统、设备/IP 未记录</x:v>
      </x:c>
      <x:c r="H14" s="24" t="str">
        <x:v>短信验证码为空</x:v>
      </x:c>
      <x:c r="I14" s="24" t="str">
        <x:v>次数待补</x:v>
      </x:c>
      <x:c r="J14" s="24" t="str">
        <x:v>具体按钮状态未记录</x:v>
      </x:c>
      <x:c r="K14" s="24" t="str">
        <x:v>请输入短信验证码</x:v>
      </x:c>
      <x:c r="L14" s="24" t="str">
        <x:v>字段错误</x:v>
      </x:c>
      <x:c r="M14" s="24" t="str">
        <x:v>注册未成功</x:v>
      </x:c>
      <x:c r="N14" s="24" t="str">
        <x:v>无</x:v>
      </x:c>
      <x:c r="O14" s="24" t="str">
        <x:v>无短信变化</x:v>
      </x:c>
      <x:c r="P14" s="24" t="str">
        <x:v>输入验证码后可恢复</x:v>
      </x:c>
      <x:c r="Q14" s="24" t="str">
        <x:v>待补客户端截图</x:v>
      </x:c>
      <x:c r="R14" s="24" t="str">
        <x:v>与官网文案不一致。若固定为 6 位，客户端也应明确长度。</x:v>
      </x:c>
    </x:row>
    <x:row r="15" ht="68" customHeight="1">
      <x:c r="A15" s="25" t="str">
        <x:v>ACT-REG-007</x:v>
      </x:c>
      <x:c r="B15" s="25" t="str">
        <x:v>注册与短信</x:v>
      </x:c>
      <x:c r="C15" s="25" t="str">
        <x:v>已实操</x:v>
      </x:c>
      <x:c r="D15" s="25" t="str"/>
      <x:c r="E15" s="24" t="str">
        <x:v>已注册手机号码的访客</x:v>
      </x:c>
      <x:c r="F15" s="24" t="str">
        <x:v>具体端与版本待补</x:v>
      </x:c>
      <x:c r="G15" s="24" t="str">
        <x:v>设备/IP 未记录</x:v>
      </x:c>
      <x:c r="H15" s="24" t="str">
        <x:v>手机号码已经注册</x:v>
      </x:c>
      <x:c r="I15" s="24" t="str">
        <x:v>次数待补</x:v>
      </x:c>
      <x:c r="J15" s="24" t="str">
        <x:v>注册未继续；是否有可点击登录入口待补</x:v>
      </x:c>
      <x:c r="K15" s="24" t="str">
        <x:v>手机号已注册，可更滑手机号或直接登录</x:v>
      </x:c>
      <x:c r="L15" s="24" t="str">
        <x:v>Toast/字段提示位置待补</x:v>
      </x:c>
      <x:c r="M15" s="24" t="str">
        <x:v>未重复创建账号</x:v>
      </x:c>
      <x:c r="N15" s="24" t="str">
        <x:v>未记录</x:v>
      </x:c>
      <x:c r="O15" s="24" t="str">
        <x:v>是否发送短信、是否记录重复注册事件待补</x:v>
      </x:c>
      <x:c r="P15" s="24" t="str">
        <x:v>可更换号码或转登录</x:v>
      </x:c>
      <x:c r="Q15" s="24" t="str">
        <x:v>待补原文截图</x:v>
      </x:c>
      <x:c r="R15" s="24" t="str">
        <x:v>若原文确为更滑手机号，属于错别字。推荐该手机号码已注册，请直接登录或更换手机号码；同时对账号枚举行为做频控。</x:v>
      </x:c>
    </x:row>
    <x:row r="16" ht="68" customHeight="1">
      <x:c r="A16" s="25" t="str">
        <x:v>ACT-REG-008</x:v>
      </x:c>
      <x:c r="B16" s="25" t="str">
        <x:v>注册与短信</x:v>
      </x:c>
      <x:c r="C16" s="25" t="str">
        <x:v>已实操</x:v>
      </x:c>
      <x:c r="D16" s="25" t="str"/>
      <x:c r="E16" s="24" t="str">
        <x:v>官网或客户端访客</x:v>
      </x:c>
      <x:c r="F16" s="24" t="str">
        <x:v>具体端与版本待补</x:v>
      </x:c>
      <x:c r="G16" s="24" t="str">
        <x:v>设备/IP 未记录</x:v>
      </x:c>
      <x:c r="H16" s="24" t="str">
        <x:v>表单有效但未勾选用户协议</x:v>
      </x:c>
      <x:c r="I16" s="24" t="str">
        <x:v>次数待补</x:v>
      </x:c>
      <x:c r="J16" s="24" t="str">
        <x:v>注册未继续；协议高亮和按钮状态未记录</x:v>
      </x:c>
      <x:c r="K16" s="24" t="str">
        <x:v>请阅读并同意协议</x:v>
      </x:c>
      <x:c r="L16" s="24" t="str">
        <x:v>字段提示或 Toast，位置待补</x:v>
      </x:c>
      <x:c r="M16" s="24" t="str">
        <x:v>未创建账号</x:v>
      </x:c>
      <x:c r="N16" s="24" t="str">
        <x:v>无</x:v>
      </x:c>
      <x:c r="O16" s="24" t="str">
        <x:v>是否发起注册请求未采集</x:v>
      </x:c>
      <x:c r="P16" s="24" t="str">
        <x:v>勾选后可恢复</x:v>
      </x:c>
      <x:c r="Q16" s="24" t="str">
        <x:v>待补截图</x:v>
      </x:c>
      <x:c r="R16" s="24" t="str">
        <x:v>推荐明确协议名称：请阅读并同意《用户服务协议》和《隐私政策》，且不得默认勾选。</x:v>
      </x:c>
    </x:row>
    <x:row r="17" ht="68" customHeight="1">
      <x:c r="A17" s="25" t="str">
        <x:v>ACT-REG-009</x:v>
      </x:c>
      <x:c r="B17" s="25" t="str">
        <x:v>注册与短信</x:v>
      </x:c>
      <x:c r="C17" s="25" t="str">
        <x:v>已实操</x:v>
      </x:c>
      <x:c r="D17" s="25" t="str"/>
      <x:c r="E17" s="24" t="str">
        <x:v>官网访客</x:v>
      </x:c>
      <x:c r="F17" s="24" t="str">
        <x:v>官网注册表单；2026-08-13 实测</x:v>
      </x:c>
      <x:c r="G17" s="24" t="str">
        <x:v>桌面浏览器；IP 未记录</x:v>
      </x:c>
      <x:c r="H17" s="24" t="str">
        <x:v>注册表单为空</x:v>
      </x:c>
      <x:c r="I17" s="24" t="str">
        <x:v>空提交 1 次</x:v>
      </x:c>
      <x:c r="J17" s="24" t="str">
        <x:v>表单保持打开</x:v>
      </x:c>
      <x:c r="K17" s="24" t="str">
        <x:v>请输入正确的手机号；请输入6位验证码；请同意《服务协议》和《隐私协议》</x:v>
      </x:c>
      <x:c r="L17" s="24" t="str">
        <x:v>同一次提交出现三项校验</x:v>
      </x:c>
      <x:c r="M17" s="24" t="str">
        <x:v>未发起注册</x:v>
      </x:c>
      <x:c r="N17" s="24" t="str">
        <x:v>无</x:v>
      </x:c>
      <x:c r="O17" s="24" t="str">
        <x:v>无短信</x:v>
      </x:c>
      <x:c r="P17" s="24" t="str">
        <x:v>补齐字段后可恢复</x:v>
      </x:c>
      <x:c r="Q17" s="24" t="str">
        <x:v>桌面空提交截图
/Users/zhangbin/Desktop/灵匠/云登pc端/research/netease-kuajing/screenshots/desktop-hero-form-empty-submit.png</x:v>
      </x:c>
      <x:c r="R17" s="24" t="str">
        <x:v>应逐字段区分空值与格式错误，并统一“用户服务协议/隐私政策”的正式名称。</x:v>
      </x:c>
    </x:row>
    <x:row r="18" ht="68" customHeight="1">
      <x:c r="A18" s="25" t="str">
        <x:v>ACT-REG-010</x:v>
      </x:c>
      <x:c r="B18" s="25" t="str">
        <x:v>注册与短信</x:v>
      </x:c>
      <x:c r="C18" s="25" t="str">
        <x:v>已实操</x:v>
      </x:c>
      <x:c r="D18" s="25" t="str"/>
      <x:c r="E18" s="24" t="str">
        <x:v>官网访客</x:v>
      </x:c>
      <x:c r="F18" s="24" t="str">
        <x:v>官网注册表单；2026-08-13 实测</x:v>
      </x:c>
      <x:c r="G18" s="24" t="str">
        <x:v>桌面浏览器；IP 未记录</x:v>
      </x:c>
      <x:c r="H18" s="24" t="str">
        <x:v>展开邀请码并输入无效值</x:v>
      </x:c>
      <x:c r="I18" s="24" t="str">
        <x:v>1 次</x:v>
      </x:c>
      <x:c r="J18" s="24" t="str">
        <x:v>注册表单保持可编辑</x:v>
      </x:c>
      <x:c r="K18" s="24" t="str">
        <x:v>邀请码无效</x:v>
      </x:c>
      <x:c r="L18" s="24" t="str">
        <x:v>字段错误</x:v>
      </x:c>
      <x:c r="M18" s="24" t="str">
        <x:v>邀请关系未建立；未最终提交注册</x:v>
      </x:c>
      <x:c r="N18" s="24" t="str">
        <x:v>无</x:v>
      </x:c>
      <x:c r="O18" s="24" t="str">
        <x:v>无短信变化</x:v>
      </x:c>
      <x:c r="P18" s="24" t="str">
        <x:v>清空或更换邀请码后可恢复</x:v>
      </x:c>
      <x:c r="Q18" s="24" t="str">
        <x:v>无效邀请码截图
/Users/zhangbin/Desktop/灵匠/云登pc端/research/netease-kuajing/screenshots/desktop-hero-invite-invalid.png</x:v>
      </x:c>
      <x:c r="R18" s="24" t="str">
        <x:v>因邀请码为选填，建议文案为邀请码无效或已失效，可清空后继续注册，避免用户误以为无法注册。</x:v>
      </x:c>
    </x:row>
    <x:row r="19" ht="68" customHeight="1">
      <x:c r="A19" s="25" t="str">
        <x:v>ACT-WEB-001</x:v>
      </x:c>
      <x:c r="B19" s="25" t="str">
        <x:v>官网与活动</x:v>
      </x:c>
      <x:c r="C19" s="25" t="str">
        <x:v>已实操</x:v>
      </x:c>
      <x:c r="D19" s="25" t="str"/>
      <x:c r="E19" s="24" t="str">
        <x:v>官网访客</x:v>
      </x:c>
      <x:c r="F19" s="24" t="str">
        <x:v>官网首页；2026-08-13 实测</x:v>
      </x:c>
      <x:c r="G19" s="24" t="str">
        <x:v>1280×720 桌面视口；IP 未记录</x:v>
      </x:c>
      <x:c r="H19" s="24" t="str">
        <x:v>首页轮播切到第 2 屏</x:v>
      </x:c>
      <x:c r="I19" s="24" t="str">
        <x:v>点击 1 次</x:v>
      </x:c>
      <x:c r="J19" s="24" t="str">
        <x:v>图片视觉上包含立即体验，但无有效链接状态</x:v>
      </x:c>
      <x:c r="K19" s="24" t="str">
        <x:v>无</x:v>
      </x:c>
      <x:c r="L19" s="24" t="str">
        <x:v>无</x:v>
      </x:c>
      <x:c r="M19" s="24" t="str">
        <x:v>点击后 URL 不变，也未打开新标签</x:v>
      </x:c>
      <x:c r="N19" s="24" t="str">
        <x:v>无</x:v>
      </x:c>
      <x:c r="O19" s="24" t="str">
        <x:v>无消息</x:v>
      </x:c>
      <x:c r="P19" s="24" t="str">
        <x:v>可使用其他注册入口</x:v>
      </x:c>
      <x:c r="Q19" s="24" t="str">
        <x:v>轮播点击截图
/Users/zhangbin/Desktop/灵匠/云登pc端/research/netease-kuajing/screenshots/desktop-home-carousel-slide2.png</x:v>
      </x:c>
      <x:c r="R19" s="24" t="str">
        <x:v>不可出现“看起来可点击但无响应”的 CTA。无目标时应隐藏按钮；活动失效时提示活动已结束或暂不可用。</x:v>
      </x:c>
    </x:row>
    <x:row r="20" ht="68" customHeight="1">
      <x:c r="A20" s="25" t="str">
        <x:v>ACT-WEB-002</x:v>
      </x:c>
      <x:c r="B20" s="25" t="str">
        <x:v>官网与活动</x:v>
      </x:c>
      <x:c r="C20" s="25" t="str">
        <x:v>已实操，重点</x:v>
      </x:c>
      <x:c r="D20" s="25" t="str"/>
      <x:c r="E20" s="24" t="str">
        <x:v>移动端官网访客</x:v>
      </x:c>
      <x:c r="F20" s="24" t="str">
        <x:v>官网首页；2026-08-13 实测</x:v>
      </x:c>
      <x:c r="G20" s="24" t="str">
        <x:v>390×844；出口 IP 未记录</x:v>
      </x:c>
      <x:c r="H20" s="24" t="str">
        <x:v>打开立即体验注册弹窗</x:v>
      </x:c>
      <x:c r="I20" s="24" t="str">
        <x:v>打开 1 次；遮罩与 Esc 各尝试</x:v>
      </x:c>
      <x:c r="J20" s="24" t="str">
        <x:v>弹窗固定约 850px，关闭按钮和表单右侧越出视口；遮罩和 Esc 无法关闭</x:v>
      </x:c>
      <x:c r="K20" s="24" t="str">
        <x:v>无</x:v>
      </x:c>
      <x:c r="L20" s="24" t="str">
        <x:v>注册弹窗</x:v>
      </x:c>
      <x:c r="M20" s="24" t="str">
        <x:v>页面横向溢出；需横向滚动到右侧点击关闭按钮才能恢复</x:v>
      </x:c>
      <x:c r="N20" s="24" t="str">
        <x:v>无</x:v>
      </x:c>
      <x:c r="O20" s="24" t="str">
        <x:v>无消息</x:v>
      </x:c>
      <x:c r="P20" s="24" t="str">
        <x:v>可恢复，但操作成本高</x:v>
      </x:c>
      <x:c r="Q20" s="24" t="str">
        <x:v>移动弹窗截图
/Users/zhangbin/Desktop/灵匠/云登pc端/research/netease-kuajing/screenshots/mobile-390-register-dialog.png
横向滚动截图
/Users/zhangbin/Desktop/灵匠/云登pc端/research/netease-kuajing/screenshots/mobile-390-dialog-horizontal-scroll.png</x:v>
      </x:c>
      <x:c r="R20" s="24" t="str">
        <x:v>弹窗宽度应不超过视口宽度 - 32px；关闭按钮始终可见；遮罩、Esc、系统返回至少提供一种可靠退出方式。</x:v>
      </x:c>
    </x:row>
    <x:row r="21" ht="68" customHeight="1">
      <x:c r="A21" s="25" t="str">
        <x:v>ACT-WEB-003</x:v>
      </x:c>
      <x:c r="B21" s="25" t="str">
        <x:v>官网与活动</x:v>
      </x:c>
      <x:c r="C21" s="25" t="str">
        <x:v>已实操</x:v>
      </x:c>
      <x:c r="D21" s="25" t="str"/>
      <x:c r="E21" s="24" t="str">
        <x:v>官网访客</x:v>
      </x:c>
      <x:c r="F21" s="24" t="str">
        <x:v>反馈页；2026-08-13 实测</x:v>
      </x:c>
      <x:c r="G21" s="24" t="str">
        <x:v>桌面浏览器；IP 未记录</x:v>
      </x:c>
      <x:c r="H21" s="24" t="str">
        <x:v>反馈正文为空</x:v>
      </x:c>
      <x:c r="I21" s="24" t="str">
        <x:v>空提交 1 次</x:v>
      </x:c>
      <x:c r="J21" s="24" t="str">
        <x:v>提交未进入成功态</x:v>
      </x:c>
      <x:c r="K21" s="24" t="str">
        <x:v>请输入您的反馈意见或问题内容</x:v>
      </x:c>
      <x:c r="L21" s="24" t="str">
        <x:v>Toast</x:v>
      </x:c>
      <x:c r="M21" s="24" t="str">
        <x:v>未提交反馈、未生成反馈编号</x:v>
      </x:c>
      <x:c r="N21" s="24" t="str">
        <x:v>无</x:v>
      </x:c>
      <x:c r="O21" s="24" t="str">
        <x:v>无对外消息</x:v>
      </x:c>
      <x:c r="P21" s="24" t="str">
        <x:v>填写正文后可恢复</x:v>
      </x:c>
      <x:c r="Q21" s="24" t="str">
        <x:v>反馈空提交截图
/Users/zhangbin/Desktop/灵匠/云登pc端/research/netease-kuajing/screenshots/desktop-feedback-empty-submit.png</x:v>
      </x:c>
      <x:c r="R21" s="24" t="str">
        <x:v>文案符合空值校验；建议错误定位到正文框并保留已填写的分类、联系方式和图片。</x:v>
      </x:c>
    </x:row>
    <x:row r="22" ht="68" customHeight="1">
      <x:c r="A22" s="25" t="str">
        <x:v>WEB-001</x:v>
      </x:c>
      <x:c r="B22" s="25" t="str">
        <x:v>官网与活动</x:v>
      </x:c>
      <x:c r="C22" s="25" t="str">
        <x:v>待实操</x:v>
      </x:c>
      <x:c r="D22" s="25" t="str">
        <x:v>P1</x:v>
      </x:c>
      <x:c r="E22" s="24" t="str">
        <x:v>官网访客</x:v>
      </x:c>
      <x:c r="F22" s="24" t="str">
        <x:v>官网当前线上版本；记录测试日期</x:v>
      </x:c>
      <x:c r="G22" s="24" t="str">
        <x:v>桌面浏览器；记录出口 IP</x:v>
      </x:c>
      <x:c r="H22" s="24" t="str">
        <x:v>官网正常可达</x:v>
      </x:c>
      <x:c r="I22" s="24" t="str">
        <x:v>同一导航连续点击 10 次</x:v>
      </x:c>
      <x:c r="J22" s="24" t="str">
        <x:v>首次点击后短暂锁定；当前菜单高亮</x:v>
      </x:c>
      <x:c r="K22" s="24" t="str">
        <x:v>页面加载失败，请重试。</x:v>
      </x:c>
      <x:c r="L22" s="24" t="str">
        <x:v>页面错误态</x:v>
      </x:c>
      <x:c r="M22" s="24" t="str">
        <x:v>待实操；期望只产生一次有效跳转，不重复打开页面</x:v>
      </x:c>
      <x:c r="N22" s="24" t="str">
        <x:v>300ms 防抖</x:v>
      </x:c>
      <x:c r="O22" s="24" t="str">
        <x:v>路由、来源、耗时、状态码、追踪码</x:v>
      </x:c>
      <x:c r="P22" s="24" t="str">
        <x:v>自动恢复或点击重试</x:v>
      </x:c>
      <x:c r="Q22" s="24" t="str">
        <x:v>待补 WEB-001</x:v>
      </x:c>
      <x:c r="R22" s="24" t="str"/>
    </x:row>
    <x:row r="23" ht="68" customHeight="1">
      <x:c r="A23" s="25" t="str">
        <x:v>WEB-002</x:v>
      </x:c>
      <x:c r="B23" s="25" t="str">
        <x:v>官网与活动</x:v>
      </x:c>
      <x:c r="C23" s="25" t="str">
        <x:v>待实操</x:v>
      </x:c>
      <x:c r="D23" s="25" t="str">
        <x:v>P1</x:v>
      </x:c>
      <x:c r="E23" s="24" t="str">
        <x:v>官网访客</x:v>
      </x:c>
      <x:c r="F23" s="24" t="str">
        <x:v>官网当前线上版本</x:v>
      </x:c>
      <x:c r="G23" s="24" t="str">
        <x:v>桌面浏览器；记录出口 IP</x:v>
      </x:c>
      <x:c r="H23" s="24" t="str">
        <x:v>首页存在多个注册 CTA</x:v>
      </x:c>
      <x:c r="I23" s="24" t="str">
        <x:v>顶栏、首屏、浮标、侧栏各点击 3 次</x:v>
      </x:c>
      <x:c r="J23" s="24" t="str">
        <x:v>弹窗打开期间不重复创建实例</x:v>
      </x:c>
      <x:c r="K23" s="24" t="str">
        <x:v>无错误时不提示</x:v>
      </x:c>
      <x:c r="L23" s="24" t="str">
        <x:v>注册弹窗</x:v>
      </x:c>
      <x:c r="M23" s="24" t="str">
        <x:v>待实操；期望所有 CTA 进入同一注册流程，并保留来源位置</x:v>
      </x:c>
      <x:c r="N23" s="24" t="str">
        <x:v>500ms 防抖</x:v>
      </x:c>
      <x:c r="O23" s="24" t="str">
        <x:v>CTA 位置、活动 ID、注册来源</x:v>
      </x:c>
      <x:c r="P23" s="24" t="str">
        <x:v>关闭后可重新打开</x:v>
      </x:c>
      <x:c r="Q23" s="24" t="str">
        <x:v>待补 WEB-002</x:v>
      </x:c>
      <x:c r="R23" s="24" t="str"/>
    </x:row>
    <x:row r="24" ht="68" customHeight="1">
      <x:c r="A24" s="25" t="str">
        <x:v>WEB-003</x:v>
      </x:c>
      <x:c r="B24" s="25" t="str">
        <x:v>官网与活动</x:v>
      </x:c>
      <x:c r="C24" s="25" t="str">
        <x:v>待实操</x:v>
      </x:c>
      <x:c r="D24" s="25" t="str">
        <x:v>P0</x:v>
      </x:c>
      <x:c r="E24" s="24" t="str">
        <x:v>官网访客</x:v>
      </x:c>
      <x:c r="F24" s="24" t="str">
        <x:v>官网当前线上版本</x:v>
      </x:c>
      <x:c r="G24" s="24" t="str">
        <x:v>桌面与 390×844 移动视口；记录 IP</x:v>
      </x:c>
      <x:c r="H24" s="24" t="str">
        <x:v>注册弹窗已打开</x:v>
      </x:c>
      <x:c r="I24" s="24" t="str">
        <x:v>关闭按钮、遮罩、Esc/系统返回各 3 次</x:v>
      </x:c>
      <x:c r="J24" s="24" t="str">
        <x:v>关闭按钮始终可见；背景不可操作</x:v>
      </x:c>
      <x:c r="K24" s="24" t="str">
        <x:v>无</x:v>
      </x:c>
      <x:c r="L24" s="24" t="str">
        <x:v>弹窗</x:v>
      </x:c>
      <x:c r="M24" s="24" t="str">
        <x:v>待实操；期望支持明确退出，关闭后焦点回到触发入口</x:v>
      </x:c>
      <x:c r="N24" s="24" t="str">
        <x:v>无</x:v>
      </x:c>
      <x:c r="O24" s="24" t="str">
        <x:v>打开来源、关闭方式、异常退出</x:v>
      </x:c>
      <x:c r="P24" s="24" t="str">
        <x:v>可即时恢复</x:v>
      </x:c>
      <x:c r="Q24" s="24" t="str">
        <x:v>待补 WEB-003</x:v>
      </x:c>
      <x:c r="R24" s="24" t="str"/>
    </x:row>
    <x:row r="25" ht="68" customHeight="1">
      <x:c r="A25" s="25" t="str">
        <x:v>WEB-004</x:v>
      </x:c>
      <x:c r="B25" s="25" t="str">
        <x:v>官网与活动</x:v>
      </x:c>
      <x:c r="C25" s="25" t="str">
        <x:v>待实操</x:v>
      </x:c>
      <x:c r="D25" s="25" t="str">
        <x:v>P0</x:v>
      </x:c>
      <x:c r="E25" s="24" t="str">
        <x:v>移动端访客</x:v>
      </x:c>
      <x:c r="F25" s="24" t="str">
        <x:v>官网当前线上版本</x:v>
      </x:c>
      <x:c r="G25" s="24" t="str">
        <x:v>320/375/390/430px；Wi-Fi 与 4G</x:v>
      </x:c>
      <x:c r="H25" s="24" t="str">
        <x:v>首页、下拉菜单和注册弹窗可打开</x:v>
      </x:c>
      <x:c r="I25" s="24" t="str">
        <x:v>每种视口各 3 次</x:v>
      </x:c>
      <x:c r="J25" s="24" t="str">
        <x:v>菜单折叠；弹窗不超过视口；主按钮完整可见</x:v>
      </x:c>
      <x:c r="K25" s="24" t="str">
        <x:v>布局异常不应用提示文案掩盖</x:v>
      </x:c>
      <x:c r="L25" s="24" t="str">
        <x:v>无</x:v>
      </x:c>
      <x:c r="M25" s="24" t="str">
        <x:v>待实操；期望无横向滚动、遮挡和不可达控件</x:v>
      </x:c>
      <x:c r="N25" s="24" t="str">
        <x:v>无</x:v>
      </x:c>
      <x:c r="O25" s="24" t="str">
        <x:v>视口、溢出尺寸、JS 错误</x:v>
      </x:c>
      <x:c r="P25" s="24" t="str">
        <x:v>页面自适应；失败可转桌面端</x:v>
      </x:c>
      <x:c r="Q25" s="24" t="str">
        <x:v>待补 WEB-004</x:v>
      </x:c>
      <x:c r="R25" s="24" t="str"/>
    </x:row>
    <x:row r="26" ht="68" customHeight="1">
      <x:c r="A26" s="25" t="str">
        <x:v>WEB-005</x:v>
      </x:c>
      <x:c r="B26" s="25" t="str">
        <x:v>官网与活动</x:v>
      </x:c>
      <x:c r="C26" s="25" t="str">
        <x:v>待实操</x:v>
      </x:c>
      <x:c r="D26" s="25" t="str">
        <x:v>P1</x:v>
      </x:c>
      <x:c r="E26" s="24" t="str">
        <x:v>官网访客</x:v>
      </x:c>
      <x:c r="F26" s="24" t="str">
        <x:v>官网当前线上版本</x:v>
      </x:c>
      <x:c r="G26" s="24" t="str">
        <x:v>桌面/移动；记录 IP</x:v>
      </x:c>
      <x:c r="H26" s="24" t="str">
        <x:v>轮播或活动卡片包含 CTA</x:v>
      </x:c>
      <x:c r="I26" s="24" t="str">
        <x:v>每个 CTA 点击 3 次</x:v>
      </x:c>
      <x:c r="J26" s="24" t="str">
        <x:v>无有效目标时禁用或隐藏</x:v>
      </x:c>
      <x:c r="K26" s="24" t="str">
        <x:v>活动已结束或暂不可用。</x:v>
      </x:c>
      <x:c r="L26" s="24" t="str">
        <x:v>Toast 或状态弹窗</x:v>
      </x:c>
      <x:c r="M26" s="24" t="str">
        <x:v>待实操；期望不得出现视觉可点击但无响应的入口</x:v>
      </x:c>
      <x:c r="N26" s="24" t="str">
        <x:v>1s</x:v>
      </x:c>
      <x:c r="O26" s="24" t="str">
        <x:v>轮播位、活动 ID、目标 URL</x:v>
      </x:c>
      <x:c r="P26" s="24" t="str">
        <x:v>返回当前页并使用其他入口</x:v>
      </x:c>
      <x:c r="Q26" s="24" t="str">
        <x:v>待补 WEB-005</x:v>
      </x:c>
      <x:c r="R26" s="24" t="str"/>
    </x:row>
    <x:row r="27" ht="68" customHeight="1">
      <x:c r="A27" s="25" t="str">
        <x:v>WEB-006</x:v>
      </x:c>
      <x:c r="B27" s="25" t="str">
        <x:v>官网与活动</x:v>
      </x:c>
      <x:c r="C27" s="25" t="str">
        <x:v>待实操</x:v>
      </x:c>
      <x:c r="D27" s="25" t="str">
        <x:v>P1</x:v>
      </x:c>
      <x:c r="E27" s="24" t="str">
        <x:v>官网访客</x:v>
      </x:c>
      <x:c r="F27" s="24" t="str">
        <x:v>官网当前线上版本</x:v>
      </x:c>
      <x:c r="G27" s="24" t="str">
        <x:v>桌面/移动；记录 IP</x:v>
      </x:c>
      <x:c r="H27" s="24" t="str">
        <x:v>活动浮层、咨询卡和注册弹窗均可触发</x:v>
      </x:c>
      <x:c r="I27" s="24" t="str">
        <x:v>快速交替点击 20 次</x:v>
      </x:c>
      <x:c r="J27" s="24" t="str">
        <x:v>最高优先级弹窗独占焦点；其余收起</x:v>
      </x:c>
      <x:c r="K27" s="24" t="str">
        <x:v>请先完成或关闭当前窗口。</x:v>
      </x:c>
      <x:c r="L27" s="24" t="str">
        <x:v>Toast</x:v>
      </x:c>
      <x:c r="M27" s="24" t="str">
        <x:v>待实操；期望不叠加多个遮罩或遮挡关闭按钮</x:v>
      </x:c>
      <x:c r="N27" s="24" t="str">
        <x:v>500ms</x:v>
      </x:c>
      <x:c r="O27" s="24" t="str">
        <x:v>弹层栈、打开来源、关闭原因</x:v>
      </x:c>
      <x:c r="P27" s="24" t="str">
        <x:v>关闭当前弹窗后恢复</x:v>
      </x:c>
      <x:c r="Q27" s="24" t="str">
        <x:v>待补 WEB-006</x:v>
      </x:c>
      <x:c r="R27" s="24" t="str"/>
    </x:row>
    <x:row r="28" ht="68" customHeight="1">
      <x:c r="A28" s="25" t="str">
        <x:v>WEB-007</x:v>
      </x:c>
      <x:c r="B28" s="25" t="str">
        <x:v>官网与活动</x:v>
      </x:c>
      <x:c r="C28" s="25" t="str">
        <x:v>待实操</x:v>
      </x:c>
      <x:c r="D28" s="25" t="str">
        <x:v>P2</x:v>
      </x:c>
      <x:c r="E28" s="24" t="str">
        <x:v>官网访客</x:v>
      </x:c>
      <x:c r="F28" s="24" t="str">
        <x:v>官网当前线上版本</x:v>
      </x:c>
      <x:c r="G28" s="24" t="str">
        <x:v>桌面/移动；慢网与正常网</x:v>
      </x:c>
      <x:c r="H28" s="24" t="str">
        <x:v>底部注册条满足展示条件</x:v>
      </x:c>
      <x:c r="I28" s="24" t="str">
        <x:v>刷新 10 次、慢网 3 次</x:v>
      </x:c>
      <x:c r="J28" s="24" t="str">
        <x:v>稳定占位；重复实例合并</x:v>
      </x:c>
      <x:c r="K28" s="24" t="str">
        <x:v>加载失败时不展示残缺表单</x:v>
      </x:c>
      <x:c r="L28" s="24" t="str">
        <x:v>无</x:v>
      </x:c>
      <x:c r="M28" s="24" t="str">
        <x:v>待实操；期望展示规则稳定且不遮挡页脚或主操作</x:v>
      </x:c>
      <x:c r="N28" s="24" t="str">
        <x:v>同会话只初始化 1 次</x:v>
      </x:c>
      <x:c r="O28" s="24" t="str">
        <x:v>展示条件、加载耗时、实例数</x:v>
      </x:c>
      <x:c r="P28" s="24" t="str">
        <x:v>刷新或使用主注册入口</x:v>
      </x:c>
      <x:c r="Q28" s="24" t="str">
        <x:v>待补 WEB-007</x:v>
      </x:c>
      <x:c r="R28" s="24" t="str"/>
    </x:row>
    <x:row r="29" ht="68" customHeight="1">
      <x:c r="A29" s="25" t="str">
        <x:v>WEB-008</x:v>
      </x:c>
      <x:c r="B29" s="25" t="str">
        <x:v>官网与活动</x:v>
      </x:c>
      <x:c r="C29" s="25" t="str">
        <x:v>待实操</x:v>
      </x:c>
      <x:c r="D29" s="25" t="str">
        <x:v>P1</x:v>
      </x:c>
      <x:c r="E29" s="24" t="str">
        <x:v>官网访客</x:v>
      </x:c>
      <x:c r="F29" s="24" t="str">
        <x:v>官网反馈页当前版本</x:v>
      </x:c>
      <x:c r="G29" s="24" t="str">
        <x:v>桌面/移动；记录 IP</x:v>
      </x:c>
      <x:c r="H29" s="24" t="str">
        <x:v>打开问题反馈</x:v>
      </x:c>
      <x:c r="I29" s="24" t="str">
        <x:v>空值、201 字、非法电话、重复提交各 3 次</x:v>
      </x:c>
      <x:c r="J29" s="24" t="str">
        <x:v>校验失败保持可编辑；提交中 Loading</x:v>
      </x:c>
      <x:c r="K29" s="24" t="str">
        <x:v>请填写问题描述。
联系电话格式不正确。
提交失败，请稍后重试。</x:v>
      </x:c>
      <x:c r="L29" s="24" t="str">
        <x:v>字段提示 + Toast</x:v>
      </x:c>
      <x:c r="M29" s="24" t="str">
        <x:v>待实操；期望成功只生成一个反馈编号，失败保留草稿</x:v>
      </x:c>
      <x:c r="N29" s="24" t="str">
        <x:v>重复提交 1s；失败重试 5s</x:v>
      </x:c>
      <x:c r="O29" s="24" t="str">
        <x:v>反馈编号、字段长度、追踪码；联系方式脱敏</x:v>
      </x:c>
      <x:c r="P29" s="24" t="str">
        <x:v>修改或重试</x:v>
      </x:c>
      <x:c r="Q29" s="24" t="str">
        <x:v>待补 WEB-008</x:v>
      </x:c>
      <x:c r="R29" s="24" t="str"/>
    </x:row>
    <x:row r="30" ht="68" customHeight="1">
      <x:c r="A30" s="25" t="str">
        <x:v>WEB-009</x:v>
      </x:c>
      <x:c r="B30" s="25" t="str">
        <x:v>官网与活动</x:v>
      </x:c>
      <x:c r="C30" s="25" t="str">
        <x:v>待实操</x:v>
      </x:c>
      <x:c r="D30" s="25" t="str">
        <x:v>P1</x:v>
      </x:c>
      <x:c r="E30" s="24" t="str">
        <x:v>官网访客</x:v>
      </x:c>
      <x:c r="F30" s="24" t="str">
        <x:v>官网客服入口当前版本</x:v>
      </x:c>
      <x:c r="G30" s="24" t="str">
        <x:v>桌面/移动；记录 IP</x:v>
      </x:c>
      <x:c r="H30" s="24" t="str">
        <x:v>打开在线客服/购买咨询</x:v>
      </x:c>
      <x:c r="I30" s="24" t="str">
        <x:v>连续进入 3 次</x:v>
      </x:c>
      <x:c r="J30" s="24" t="str">
        <x:v>客服入口携带当前产品上下文</x:v>
      </x:c>
      <x:c r="K30" s="24" t="str">
        <x:v>客服暂时不可用，请稍后再试。</x:v>
      </x:c>
      <x:c r="L30" s="24" t="str">
        <x:v>离线弹窗</x:v>
      </x:c>
      <x:c r="M30" s="24" t="str">
        <x:v>待实操；期望进入 EaseGlobal Browser 服务队列，不串入其他产品</x:v>
      </x:c>
      <x:c r="N30" s="24" t="str">
        <x:v>失败后 30s</x:v>
      </x:c>
      <x:c r="O30" s="24" t="str">
        <x:v>产品线、页面、会话 ID、服务时间</x:v>
      </x:c>
      <x:c r="P30" s="24" t="str">
        <x:v>转帮助中心或反馈表</x:v>
      </x:c>
      <x:c r="Q30" s="24" t="str">
        <x:v>待补 WEB-009</x:v>
      </x:c>
      <x:c r="R30" s="24" t="str"/>
    </x:row>
    <x:row r="31" ht="68" customHeight="1">
      <x:c r="A31" s="25" t="str">
        <x:v>WEB-010</x:v>
      </x:c>
      <x:c r="B31" s="25" t="str">
        <x:v>官网与活动</x:v>
      </x:c>
      <x:c r="C31" s="25" t="str">
        <x:v>待实操</x:v>
      </x:c>
      <x:c r="D31" s="25" t="str">
        <x:v>P1</x:v>
      </x:c>
      <x:c r="E31" s="24" t="str">
        <x:v>官网访客</x:v>
      </x:c>
      <x:c r="F31" s="24" t="str">
        <x:v>官网当前线上版本</x:v>
      </x:c>
      <x:c r="G31" s="24" t="str">
        <x:v>断网、超时、维护网络；记录 IP</x:v>
      </x:c>
      <x:c r="H31" s="24" t="str">
        <x:v>打开失效链接或请求中断</x:v>
      </x:c>
      <x:c r="I31" s="24" t="str">
        <x:v>每类重试 3 次</x:v>
      </x:c>
      <x:c r="J31" s="24" t="str">
        <x:v>显示重试和返回首页；维护期禁用不可用 CTA</x:v>
      </x:c>
      <x:c r="K31" s="24" t="str">
        <x:v>网络异常，请检查连接后重试。
系统维护中，预计于 YYYY-MM-DD HH:mm 恢复。</x:v>
      </x:c>
      <x:c r="L31" s="24" t="str">
        <x:v>错误页/维护弹窗</x:v>
      </x:c>
      <x:c r="M31" s="24" t="str">
        <x:v>待实操；期望无无限加载，协议和外链失效有兜底</x:v>
      </x:c>
      <x:c r="N31" s="24" t="str">
        <x:v>指数退避 1/3/10s</x:v>
      </x:c>
      <x:c r="O31" s="24" t="str">
        <x:v>URL、状态码、维护窗口、追踪码</x:v>
      </x:c>
      <x:c r="P31" s="24" t="str">
        <x:v>自动重试、手动重试或返回首页</x:v>
      </x:c>
      <x:c r="Q31" s="24" t="str">
        <x:v>待补 WEB-010</x:v>
      </x:c>
      <x:c r="R31" s="24" t="str"/>
    </x:row>
    <x:row r="32" ht="68" customHeight="1">
      <x:c r="A32" s="25" t="str">
        <x:v>DL-001</x:v>
      </x:c>
      <x:c r="B32" s="25" t="str">
        <x:v>下载与更新</x:v>
      </x:c>
      <x:c r="C32" s="25" t="str">
        <x:v>待实操</x:v>
      </x:c>
      <x:c r="D32" s="25" t="str">
        <x:v>P1</x:v>
      </x:c>
      <x:c r="E32" s="24" t="str">
        <x:v>官网访客</x:v>
      </x:c>
      <x:c r="F32" s="24" t="str">
        <x:v>官网下载页当前版本</x:v>
      </x:c>
      <x:c r="G32" s="24" t="str">
        <x:v>Windows/macOS/Linux；记录 IP</x:v>
      </x:c>
      <x:c r="H32" s="24" t="str">
        <x:v>系统识别可用</x:v>
      </x:c>
      <x:c r="I32" s="24" t="str">
        <x:v>每种系统和 UA 各 3 次</x:v>
      </x:c>
      <x:c r="J32" s="24" t="str">
        <x:v>自动推荐匹配版本，允许手动切换</x:v>
      </x:c>
      <x:c r="K32" s="24" t="str">
        <x:v>未能识别当前系统，请手动选择安装包。</x:v>
      </x:c>
      <x:c r="L32" s="24" t="str">
        <x:v>页面提示</x:v>
      </x:c>
      <x:c r="M32" s="24" t="str">
        <x:v>待实操；期望识别错误时不直接触发错误下载</x:v>
      </x:c>
      <x:c r="N32" s="24" t="str">
        <x:v>无</x:v>
      </x:c>
      <x:c r="O32" s="24" t="str">
        <x:v>UA、识别结果、人工选择、包 ID</x:v>
      </x:c>
      <x:c r="P32" s="24" t="str">
        <x:v>手动选择版本</x:v>
      </x:c>
      <x:c r="Q32" s="24" t="str">
        <x:v>待补 DL-001</x:v>
      </x:c>
      <x:c r="R32" s="24" t="str"/>
    </x:row>
    <x:row r="33" ht="68" customHeight="1">
      <x:c r="A33" s="25" t="str">
        <x:v>DL-002</x:v>
      </x:c>
      <x:c r="B33" s="25" t="str">
        <x:v>下载与更新</x:v>
      </x:c>
      <x:c r="C33" s="25" t="str">
        <x:v>待实操</x:v>
      </x:c>
      <x:c r="D33" s="25" t="str">
        <x:v>P0</x:v>
      </x:c>
      <x:c r="E33" s="24" t="str">
        <x:v>Windows/macOS 用户</x:v>
      </x:c>
      <x:c r="F33" s="24" t="str">
        <x:v>官网下载页和当前客户端版本</x:v>
      </x:c>
      <x:c r="G33" s="24" t="str">
        <x:v>同一设备/IP</x:v>
      </x:c>
      <x:c r="H33" s="24" t="str">
        <x:v>安装包可下载</x:v>
      </x:c>
      <x:c r="I33" s="24" t="str">
        <x:v>1 秒连击 10/20/56/100 次；并发 5</x:v>
      </x:c>
      <x:c r="J33" s="24" t="str">
        <x:v>首次点击后显示正在准备下载并合并重复请求</x:v>
      </x:c>
      <x:c r="K33" s="24" t="str">
        <x:v>下载已开始，请勿重复点击。</x:v>
      </x:c>
      <x:c r="L33" s="24" t="str">
        <x:v>Toast</x:v>
      </x:c>
      <x:c r="M33" s="24" t="str">
        <x:v>待实操；期望同一会话同一版本只生成一个有效下载任务</x:v>
      </x:c>
      <x:c r="N33" s="24" t="str">
        <x:v>1s；任务存在期间锁定</x:v>
      </x:c>
      <x:c r="O33" s="24" t="str">
        <x:v>版本、构建号、CDN、点击和实际请求数</x:v>
      </x:c>
      <x:c r="P33" s="24" t="str">
        <x:v>可查看下载或重新下载</x:v>
      </x:c>
      <x:c r="Q33" s="24" t="str">
        <x:v>待补 DL-002</x:v>
      </x:c>
      <x:c r="R33" s="24" t="str"/>
    </x:row>
    <x:row r="34" ht="68" customHeight="1">
      <x:c r="A34" s="25" t="str">
        <x:v>DL-003</x:v>
      </x:c>
      <x:c r="B34" s="25" t="str">
        <x:v>下载与更新</x:v>
      </x:c>
      <x:c r="C34" s="25" t="str">
        <x:v>待实操</x:v>
      </x:c>
      <x:c r="D34" s="25" t="str">
        <x:v>P1</x:v>
      </x:c>
      <x:c r="E34" s="24" t="str">
        <x:v>Mac 用户</x:v>
      </x:c>
      <x:c r="F34" s="24" t="str">
        <x:v>官网下载页当前版本</x:v>
      </x:c>
      <x:c r="G34" s="24" t="str">
        <x:v>Intel 与 Apple Silicon；记录 IP</x:v>
      </x:c>
      <x:c r="H34" s="24" t="str">
        <x:v>芯片类型未知或选择错误</x:v>
      </x:c>
      <x:c r="I34" s="24" t="str">
        <x:v>两种芯片包各 3 次</x:v>
      </x:c>
      <x:c r="J34" s="24" t="str">
        <x:v>未选择芯片前主按钮禁用</x:v>
      </x:c>
      <x:c r="K34" s="24" t="str">
        <x:v>请选择 Mac 芯片类型。</x:v>
      </x:c>
      <x:c r="L34" s="24" t="str">
        <x:v>字段提示</x:v>
      </x:c>
      <x:c r="M34" s="24" t="str">
        <x:v>待实操；期望下载包与芯片匹配，并提供识别方法</x:v>
      </x:c>
      <x:c r="N34" s="24" t="str">
        <x:v>无</x:v>
      </x:c>
      <x:c r="O34" s="24" t="str">
        <x:v>芯片选择、包 ID、安装结果</x:v>
      </x:c>
      <x:c r="P34" s="24" t="str">
        <x:v>重新选择正确安装包</x:v>
      </x:c>
      <x:c r="Q34" s="24" t="str">
        <x:v>待补 DL-003</x:v>
      </x:c>
      <x:c r="R34" s="24" t="str"/>
    </x:row>
    <x:row r="35" ht="68" customHeight="1">
      <x:c r="A35" s="25" t="str">
        <x:v>DL-004</x:v>
      </x:c>
      <x:c r="B35" s="25" t="str">
        <x:v>下载与更新</x:v>
      </x:c>
      <x:c r="C35" s="25" t="str">
        <x:v>待实操</x:v>
      </x:c>
      <x:c r="D35" s="25" t="str">
        <x:v>P1</x:v>
      </x:c>
      <x:c r="E35" s="24" t="str">
        <x:v>不支持系统用户</x:v>
      </x:c>
      <x:c r="F35" s="24" t="str">
        <x:v>官网下载页当前版本</x:v>
      </x:c>
      <x:c r="G35" s="24" t="str">
        <x:v>iOS/Android/Linux/低版本系统</x:v>
      </x:c>
      <x:c r="H35" s="24" t="str">
        <x:v>当前系统不受支持</x:v>
      </x:c>
      <x:c r="I35" s="24" t="str">
        <x:v>每种系统 3 次</x:v>
      </x:c>
      <x:c r="J35" s="24" t="str">
        <x:v>桌面安装按钮禁用；显示系统要求或二维码</x:v>
      </x:c>
      <x:c r="K35" s="24" t="str">
        <x:v>暂不支持当前系统，请使用 Windows 10 及以上或受支持的 macOS 版本。</x:v>
      </x:c>
      <x:c r="L35" s="24" t="str">
        <x:v>页面提示</x:v>
      </x:c>
      <x:c r="M35" s="24" t="str">
        <x:v>待实操；期望不下发不可安装文件</x:v>
      </x:c>
      <x:c r="N35" s="24" t="str">
        <x:v>无</x:v>
      </x:c>
      <x:c r="O35" s="24" t="str">
        <x:v>系统类型、不支持原因</x:v>
      </x:c>
      <x:c r="P35" s="24" t="str">
        <x:v>切换受支持设备</x:v>
      </x:c>
      <x:c r="Q35" s="24" t="str">
        <x:v>待补 DL-004</x:v>
      </x:c>
      <x:c r="R35" s="24" t="str"/>
    </x:row>
    <x:row r="36" ht="68" customHeight="1">
      <x:c r="A36" s="25" t="str">
        <x:v>DL-005</x:v>
      </x:c>
      <x:c r="B36" s="25" t="str">
        <x:v>下载与更新</x:v>
      </x:c>
      <x:c r="C36" s="25" t="str">
        <x:v>待实操</x:v>
      </x:c>
      <x:c r="D36" s="25" t="str">
        <x:v>P1</x:v>
      </x:c>
      <x:c r="E36" s="24" t="str">
        <x:v>下载用户</x:v>
      </x:c>
      <x:c r="F36" s="24" t="str">
        <x:v>官网下载页当前版本</x:v>
      </x:c>
      <x:c r="G36" s="24" t="str">
        <x:v>Wi-Fi/4G 切换；记录 IP</x:v>
      </x:c>
      <x:c r="H36" s="24" t="str">
        <x:v>安装包下载中</x:v>
      </x:c>
      <x:c r="I36" s="24" t="str">
        <x:v>中断 3 次、换网 3 次</x:v>
      </x:c>
      <x:c r="J36" s="24" t="str">
        <x:v>支持续传则显示继续下载，否则重新下载</x:v>
      </x:c>
      <x:c r="K36" s="24" t="str">
        <x:v>下载中断，请继续或重新下载。</x:v>
      </x:c>
      <x:c r="L36" s="24" t="str">
        <x:v>浏览器/页面提示</x:v>
      </x:c>
      <x:c r="M36" s="24" t="str">
        <x:v>待实操；期望残缺文件不可进入安装流程</x:v>
      </x:c>
      <x:c r="N36" s="24" t="str">
        <x:v>重试 3/10/30s</x:v>
      </x:c>
      <x:c r="O36" s="24" t="str">
        <x:v>字节范围、CDN、失败原因、文件大小</x:v>
      </x:c>
      <x:c r="P36" s="24" t="str">
        <x:v>续传或重新下载</x:v>
      </x:c>
      <x:c r="Q36" s="24" t="str">
        <x:v>待补 DL-005</x:v>
      </x:c>
      <x:c r="R36" s="24" t="str"/>
    </x:row>
    <x:row r="37" ht="68" customHeight="1">
      <x:c r="A37" s="25" t="str">
        <x:v>DL-006</x:v>
      </x:c>
      <x:c r="B37" s="25" t="str">
        <x:v>下载与更新</x:v>
      </x:c>
      <x:c r="C37" s="25" t="str">
        <x:v>待实操</x:v>
      </x:c>
      <x:c r="D37" s="25" t="str">
        <x:v>P0</x:v>
      </x:c>
      <x:c r="E37" s="24" t="str">
        <x:v>安装用户</x:v>
      </x:c>
      <x:c r="F37" s="24" t="str">
        <x:v>当前发布安装包</x:v>
      </x:c>
      <x:c r="G37" s="24" t="str">
        <x:v>Windows/macOS；记录设备</x:v>
      </x:c>
      <x:c r="H37" s="24" t="str">
        <x:v>下载完成</x:v>
      </x:c>
      <x:c r="I37" s="24" t="str">
        <x:v>截断、篡改、旧包各 1 次</x:v>
      </x:c>
      <x:c r="J37" s="24" t="str">
        <x:v>校验期间安装不可继续</x:v>
      </x:c>
      <x:c r="K37" s="24" t="str">
        <x:v>安装包校验失败，请从官网下载最新版本。</x:v>
      </x:c>
      <x:c r="L37" s="24" t="str">
        <x:v>系统/客户端弹窗</x:v>
      </x:c>
      <x:c r="M37" s="24" t="str">
        <x:v>待实操；期望校验哈希、签名、发布者和构建号，坏包不安装</x:v>
      </x:c>
      <x:c r="N37" s="24" t="str">
        <x:v>无</x:v>
      </x:c>
      <x:c r="O37" s="24" t="str">
        <x:v>校验项和失败码，不上传安装包内容</x:v>
      </x:c>
      <x:c r="P37" s="24" t="str">
        <x:v>删除坏包并重新下载</x:v>
      </x:c>
      <x:c r="Q37" s="24" t="str">
        <x:v>待补 DL-006</x:v>
      </x:c>
      <x:c r="R37" s="24" t="str"/>
    </x:row>
    <x:row r="38" ht="68" customHeight="1">
      <x:c r="A38" s="25" t="str">
        <x:v>DL-007</x:v>
      </x:c>
      <x:c r="B38" s="25" t="str">
        <x:v>下载与更新</x:v>
      </x:c>
      <x:c r="C38" s="25" t="str">
        <x:v>待实操</x:v>
      </x:c>
      <x:c r="D38" s="25" t="str">
        <x:v>P0</x:v>
      </x:c>
      <x:c r="E38" s="24" t="str">
        <x:v>已安装用户</x:v>
      </x:c>
      <x:c r="F38" s="24" t="str">
        <x:v>当前客户端升级到目标版本</x:v>
      </x:c>
      <x:c r="G38" s="24" t="str">
        <x:v>Windows/macOS；记录设备/IP</x:v>
      </x:c>
      <x:c r="H38" s="24" t="str">
        <x:v>可覆盖升级</x:v>
      </x:c>
      <x:c r="I38" s="24" t="str">
        <x:v>正常、断网、断电/强退各 1 次</x:v>
      </x:c>
      <x:c r="J38" s="24" t="str">
        <x:v>更新中禁用重复操作并显示进度</x:v>
      </x:c>
      <x:c r="K38" s="24" t="str">
        <x:v>更新失败，已保留原版本和本地数据。</x:v>
      </x:c>
      <x:c r="L38" s="24" t="str">
        <x:v>更新结果弹窗</x:v>
      </x:c>
      <x:c r="M38" s="24" t="str">
        <x:v>待实操；期望升级原子化，失败自动回滚</x:v>
      </x:c>
      <x:c r="N38" s="24" t="str">
        <x:v>失败后 30s</x:v>
      </x:c>
      <x:c r="O38" s="24" t="str">
        <x:v>原/目标版本、迁移步骤、回滚结果</x:v>
      </x:c>
      <x:c r="P38" s="24" t="str">
        <x:v>自动回滚或官网下载重装</x:v>
      </x:c>
      <x:c r="Q38" s="24" t="str">
        <x:v>待补 DL-007</x:v>
      </x:c>
      <x:c r="R38" s="24" t="str"/>
    </x:row>
    <x:row r="39" ht="68" customHeight="1">
      <x:c r="A39" s="25" t="str">
        <x:v>DL-008</x:v>
      </x:c>
      <x:c r="B39" s="25" t="str">
        <x:v>下载与更新</x:v>
      </x:c>
      <x:c r="C39" s="25" t="str">
        <x:v>待实操</x:v>
      </x:c>
      <x:c r="D39" s="25" t="str">
        <x:v>P0</x:v>
      </x:c>
      <x:c r="E39" s="24" t="str">
        <x:v>安装用户</x:v>
      </x:c>
      <x:c r="F39" s="24" t="str">
        <x:v>当前客户端安装包</x:v>
      </x:c>
      <x:c r="G39" s="24" t="str">
        <x:v>被 Gatekeeper/安全软件拦截的设备</x:v>
      </x:c>
      <x:c r="H39" s="24" t="str">
        <x:v>系统安全拦截</x:v>
      </x:c>
      <x:c r="I39" s="24" t="str">
        <x:v>每种拦截 2 次</x:v>
      </x:c>
      <x:c r="J39" s="24" t="str">
        <x:v>展示签名核验和官方排障入口</x:v>
      </x:c>
      <x:c r="K39" s="24" t="str">
        <x:v>无法验证安装包，请勿关闭系统安全保护。请核对发布者或重新下载。</x:v>
      </x:c>
      <x:c r="L39" s="24" t="str">
        <x:v>安全说明弹窗</x:v>
      </x:c>
      <x:c r="M39" s="24" t="str">
        <x:v>待实操；期望不以关闭防护或--no-sandbox作为首选方案</x:v>
      </x:c>
      <x:c r="N39" s="24" t="str">
        <x:v>无</x:v>
      </x:c>
      <x:c r="O39" s="24" t="str">
        <x:v>系统拦截码、签名状态、发布者</x:v>
      </x:c>
      <x:c r="P39" s="24" t="str">
        <x:v>恢复安全设置后重新验证</x:v>
      </x:c>
      <x:c r="Q39" s="24" t="str">
        <x:v>待补 DL-008</x:v>
      </x:c>
      <x:c r="R39" s="24" t="str"/>
    </x:row>
    <x:row r="40" ht="68" customHeight="1">
      <x:c r="A40" s="25" t="str">
        <x:v>DL-009</x:v>
      </x:c>
      <x:c r="B40" s="25" t="str">
        <x:v>下载与更新</x:v>
      </x:c>
      <x:c r="C40" s="25" t="str">
        <x:v>待实操</x:v>
      </x:c>
      <x:c r="D40" s="25" t="str">
        <x:v>P1</x:v>
      </x:c>
      <x:c r="E40" s="24" t="str">
        <x:v>已安装用户</x:v>
      </x:c>
      <x:c r="F40" s="24" t="str">
        <x:v>当前客户端与更新服务</x:v>
      </x:c>
      <x:c r="G40" s="24" t="str">
        <x:v>正常网/弱网；记录 IP</x:v>
      </x:c>
      <x:c r="H40" s="24" t="str">
        <x:v>检查更新</x:v>
      </x:c>
      <x:c r="I40" s="24" t="str">
        <x:v>连续检查 10 次、双窗口并发</x:v>
      </x:c>
      <x:c r="J40" s="24" t="str">
        <x:v>检查中禁用；强制更新和可选更新分开</x:v>
      </x:c>
      <x:c r="K40" s="24" t="str">
        <x:v>版本信息异常，请前往官网下载。
已是最新版本。</x:v>
      </x:c>
      <x:c r="L40" s="24" t="str">
        <x:v>Toast/更新弹窗</x:v>
      </x:c>
      <x:c r="M40" s="24" t="str">
        <x:v>待实操；期望客户端、下载页和更新日志使用同一版本基线</x:v>
      </x:c>
      <x:c r="N40" s="24" t="str">
        <x:v>检查失败后 30s</x:v>
      </x:c>
      <x:c r="O40" s="24" t="str">
        <x:v>当前/目标版本、渠道、构建号、校验结果</x:v>
      </x:c>
      <x:c r="P40" s="24" t="str">
        <x:v>重试、官网下载或回滚</x:v>
      </x:c>
      <x:c r="Q40" s="24" t="str">
        <x:v>待补 DL-009</x:v>
      </x:c>
      <x:c r="R40" s="24" t="str"/>
    </x:row>
    <x:row r="41" ht="68" customHeight="1">
      <x:c r="A41" s="25" t="str">
        <x:v>DL-010</x:v>
      </x:c>
      <x:c r="B41" s="25" t="str">
        <x:v>下载与更新</x:v>
      </x:c>
      <x:c r="C41" s="25" t="str">
        <x:v>待实操</x:v>
      </x:c>
      <x:c r="D41" s="25" t="str">
        <x:v>P1</x:v>
      </x:c>
      <x:c r="E41" s="24" t="str">
        <x:v>多名访客</x:v>
      </x:c>
      <x:c r="F41" s="24" t="str">
        <x:v>官网下载页当前版本</x:v>
      </x:c>
      <x:c r="G41" s="24" t="str">
        <x:v>多设备、同/不同 IP</x:v>
      </x:c>
      <x:c r="H41" s="24" t="str">
        <x:v>同一区域同时下载</x:v>
      </x:c>
      <x:c r="I41" s="24" t="str">
        <x:v>20/100 并发</x:v>
      </x:c>
      <x:c r="J41" s="24" t="str">
        <x:v>请求排队但状态明确</x:v>
      </x:c>
      <x:c r="K41" s="24" t="str">
        <x:v>下载服务繁忙，正在为你重试。</x:v>
      </x:c>
      <x:c r="L41" s="24" t="str">
        <x:v>页面状态</x:v>
      </x:c>
      <x:c r="M41" s="24" t="str">
        <x:v>待实操；期望不返回错误文件，自动切换可用 CDN</x:v>
      </x:c>
      <x:c r="N41" s="24" t="str">
        <x:v>指数退避 3/10/30s</x:v>
      </x:c>
      <x:c r="O41" s="24" t="str">
        <x:v>CDN 命中率、5xx、吞吐、构建号</x:v>
      </x:c>
      <x:c r="P41" s="24" t="str">
        <x:v>自动切换节点或稍后重试</x:v>
      </x:c>
      <x:c r="Q41" s="24" t="str">
        <x:v>待补 DL-010</x:v>
      </x:c>
      <x:c r="R41" s="24" t="str"/>
    </x:row>
    <x:row r="42" ht="68" customHeight="1">
      <x:c r="A42" s="25" t="str">
        <x:v>SMS-001</x:v>
      </x:c>
      <x:c r="B42" s="25" t="str">
        <x:v>注册与短信</x:v>
      </x:c>
      <x:c r="C42" s="25" t="str">
        <x:v>待实操</x:v>
      </x:c>
      <x:c r="D42" s="25" t="str">
        <x:v>P1</x:v>
      </x:c>
      <x:c r="E42" s="24" t="str">
        <x:v>待注册用户</x:v>
      </x:c>
      <x:c r="F42" s="24" t="str">
        <x:v>官网与客户端当前版本</x:v>
      </x:c>
      <x:c r="G42" s="24" t="str">
        <x:v>同一设备/IP</x:v>
      </x:c>
      <x:c r="H42" s="24" t="str">
        <x:v>手机号码为空或非法</x:v>
      </x:c>
      <x:c r="I42" s="24" t="str">
        <x:v>空值、10位、12位、字母、空格、境外号各 3 次</x:v>
      </x:c>
      <x:c r="J42" s="24" t="str">
        <x:v>格式合法前获取按钮禁用或点击后立即恢复</x:v>
      </x:c>
      <x:c r="K42" s="24" t="str">
        <x:v>空值：请输入手机号码。
格式：手机号码格式不正确。</x:v>
      </x:c>
      <x:c r="L42" s="24" t="str">
        <x:v>字段提示</x:v>
      </x:c>
      <x:c r="M42" s="24" t="str">
        <x:v>待实操；期望前后端同时拦截且不创建短信请求</x:v>
      </x:c>
      <x:c r="N42" s="24" t="str">
        <x:v>无</x:v>
      </x:c>
      <x:c r="O42" s="24" t="str">
        <x:v>只记校验类型，不记完整号码</x:v>
      </x:c>
      <x:c r="P42" s="24" t="str">
        <x:v>修正号码</x:v>
      </x:c>
      <x:c r="Q42" s="24" t="str">
        <x:v>待补 SMS-001</x:v>
      </x:c>
      <x:c r="R42" s="24" t="str"/>
    </x:row>
    <x:row r="43" ht="68" customHeight="1">
      <x:c r="A43" s="25" t="str">
        <x:v>SMS-002</x:v>
      </x:c>
      <x:c r="B43" s="25" t="str">
        <x:v>注册与短信</x:v>
      </x:c>
      <x:c r="C43" s="25" t="str">
        <x:v>待实操</x:v>
      </x:c>
      <x:c r="D43" s="25" t="str">
        <x:v>P0</x:v>
      </x:c>
      <x:c r="E43" s="24" t="str">
        <x:v>待注册用户</x:v>
      </x:c>
      <x:c r="F43" s="24" t="str">
        <x:v>官网与客户端当前版本</x:v>
      </x:c>
      <x:c r="G43" s="24" t="str">
        <x:v>同一设备/IP</x:v>
      </x:c>
      <x:c r="H43" s="24" t="str">
        <x:v>未勾用户协议</x:v>
      </x:c>
      <x:c r="I43" s="24" t="str">
        <x:v>提交 3 次</x:v>
      </x:c>
      <x:c r="J43" s="24" t="str">
        <x:v>注册不提交；协议区域高亮</x:v>
      </x:c>
      <x:c r="K43" s="24" t="str">
        <x:v>请阅读并同意《用户服务协议》和《隐私政策》。</x:v>
      </x:c>
      <x:c r="L43" s="24" t="str">
        <x:v>字段提示/Toast</x:v>
      </x:c>
      <x:c r="M43" s="24" t="str">
        <x:v>待实操；期望不创建账号，不默认勾选</x:v>
      </x:c>
      <x:c r="N43" s="24" t="str">
        <x:v>无</x:v>
      </x:c>
      <x:c r="O43" s="24" t="str">
        <x:v>记录协议版本和同意时间；未同意不写入</x:v>
      </x:c>
      <x:c r="P43" s="24" t="str">
        <x:v>勾选后继续</x:v>
      </x:c>
      <x:c r="Q43" s="24" t="str">
        <x:v>待补 SMS-002</x:v>
      </x:c>
      <x:c r="R43" s="24" t="str"/>
    </x:row>
    <x:row r="44" ht="68" customHeight="1">
      <x:c r="A44" s="25" t="str">
        <x:v>SMS-003</x:v>
      </x:c>
      <x:c r="B44" s="25" t="str">
        <x:v>注册与短信</x:v>
      </x:c>
      <x:c r="C44" s="25" t="str">
        <x:v>待实操</x:v>
      </x:c>
      <x:c r="D44" s="25" t="str">
        <x:v>P1</x:v>
      </x:c>
      <x:c r="E44" s="24" t="str">
        <x:v>待注册用户</x:v>
      </x:c>
      <x:c r="F44" s="24" t="str">
        <x:v>官网与客户端当前版本</x:v>
      </x:c>
      <x:c r="G44" s="24" t="str">
        <x:v>同一设备/IP</x:v>
      </x:c>
      <x:c r="H44" s="24" t="str">
        <x:v>邀请码为空、非法、过期或已用</x:v>
      </x:c>
      <x:c r="I44" s="24" t="str">
        <x:v>每类 3 次</x:v>
      </x:c>
      <x:c r="J44" s="24" t="str">
        <x:v>校验中 Loading；失败后可清空</x:v>
      </x:c>
      <x:c r="K44" s="24" t="str">
        <x:v>邀请码无效或已失效，可清空后继续注册。</x:v>
      </x:c>
      <x:c r="L44" s="24" t="str">
        <x:v>字段提示</x:v>
      </x:c>
      <x:c r="M44" s="24" t="str">
        <x:v>待实操；期望失败不污染手机号码和注册状态</x:v>
      </x:c>
      <x:c r="N44" s="24" t="str">
        <x:v>失败后 3s</x:v>
      </x:c>
      <x:c r="O44" s="24" t="str">
        <x:v>邀请码哈希、失败原因</x:v>
      </x:c>
      <x:c r="P44" s="24" t="str">
        <x:v>清空或更换邀请码</x:v>
      </x:c>
      <x:c r="Q44" s="24" t="str">
        <x:v>待补 SMS-003</x:v>
      </x:c>
      <x:c r="R44" s="24" t="str"/>
    </x:row>
    <x:row r="45" ht="68" customHeight="1">
      <x:c r="A45" s="25" t="str">
        <x:v>SMS-004</x:v>
      </x:c>
      <x:c r="B45" s="25" t="str">
        <x:v>注册与短信</x:v>
      </x:c>
      <x:c r="C45" s="25" t="str">
        <x:v>待实操</x:v>
      </x:c>
      <x:c r="D45" s="25" t="str">
        <x:v>P1</x:v>
      </x:c>
      <x:c r="E45" s="24" t="str">
        <x:v>待注册用户</x:v>
      </x:c>
      <x:c r="F45" s="24" t="str">
        <x:v>官网与客户端当前版本</x:v>
      </x:c>
      <x:c r="G45" s="24" t="str">
        <x:v>同一设备/IP/号码</x:v>
      </x:c>
      <x:c r="H45" s="24" t="str">
        <x:v>号码有效、风险校验通过</x:v>
      </x:c>
      <x:c r="I45" s="24" t="str">
        <x:v>正常获取 1 次</x:v>
      </x:c>
      <x:c r="J45" s="24" t="str">
        <x:v>发送中禁用；成功后 60s 倒计时</x:v>
      </x:c>
      <x:c r="K45" s="24" t="str">
        <x:v>验证码已发送，请查收短信。</x:v>
      </x:c>
      <x:c r="L45" s="24" t="str">
        <x:v>Toast</x:v>
      </x:c>
      <x:c r="M45" s="24" t="str">
        <x:v>待实操；期望只创建一次短信任务和唯一 request ID</x:v>
      </x:c>
      <x:c r="N45" s="24" t="str">
        <x:v>60s</x:v>
      </x:c>
      <x:c r="O45" s="24" t="str">
        <x:v>脱敏号码、模板、供应商追踪码；不记明文验证码</x:v>
      </x:c>
      <x:c r="P45" s="24" t="str">
        <x:v>等待或倒计时结束重发</x:v>
      </x:c>
      <x:c r="Q45" s="24" t="str">
        <x:v>待补 SMS-004</x:v>
      </x:c>
      <x:c r="R45" s="24" t="str"/>
    </x:row>
    <x:row r="46" ht="68" customHeight="1">
      <x:c r="A46" s="25" t="str">
        <x:v>SMS-005</x:v>
      </x:c>
      <x:c r="B46" s="25" t="str">
        <x:v>注册与短信</x:v>
      </x:c>
      <x:c r="C46" s="25" t="str">
        <x:v>待实操</x:v>
      </x:c>
      <x:c r="D46" s="25" t="str">
        <x:v>P0</x:v>
      </x:c>
      <x:c r="E46" s="24" t="str">
        <x:v>待注册用户</x:v>
      </x:c>
      <x:c r="F46" s="24" t="str">
        <x:v>官网、注册页与客户端当前版本</x:v>
      </x:c>
      <x:c r="G46" s="24" t="str">
        <x:v>同一设备/IP/号码</x:v>
      </x:c>
      <x:c r="H46" s="24" t="str">
        <x:v>任一入口倒计时未结束</x:v>
      </x:c>
      <x:c r="I46" s="24" t="str">
        <x:v>同区块连击 10 次；跨入口并发 2/5</x:v>
      </x:c>
      <x:c r="J46" s="24" t="str">
        <x:v>所有入口共享倒计时并禁用</x:v>
      </x:c>
      <x:c r="K46" s="24" t="str">
        <x:v>请在 {n} 秒后重试。</x:v>
      </x:c>
      <x:c r="L46" s="24" t="str">
        <x:v>Toast + 按钮倒计时</x:v>
      </x:c>
      <x:c r="M46" s="24" t="str">
        <x:v>待实操；期望重复操作不重复计费、不重复发送</x:v>
      </x:c>
      <x:c r="N46" s="24" t="str">
        <x:v>剩余倒计时</x:v>
      </x:c>
      <x:c r="O46" s="24" t="str">
        <x:v>拦截次数、入口、设备/IP 哈希</x:v>
      </x:c>
      <x:c r="P46" s="24" t="str">
        <x:v>倒计时结束恢复</x:v>
      </x:c>
      <x:c r="Q46" s="24" t="str">
        <x:v>待补 SMS-005</x:v>
      </x:c>
      <x:c r="R46" s="24" t="str"/>
    </x:row>
    <x:row r="47" ht="68" customHeight="1">
      <x:c r="A47" s="25" t="str">
        <x:v>SMS-006</x:v>
      </x:c>
      <x:c r="B47" s="25" t="str">
        <x:v>注册与短信</x:v>
      </x:c>
      <x:c r="C47" s="25" t="str">
        <x:v>待实操</x:v>
      </x:c>
      <x:c r="D47" s="25" t="str">
        <x:v>P0</x:v>
      </x:c>
      <x:c r="E47" s="24" t="str">
        <x:v>待注册用户/异常请求方</x:v>
      </x:c>
      <x:c r="F47" s="24" t="str">
        <x:v>官网与客户端当前版本</x:v>
      </x:c>
      <x:c r="G47" s="24" t="str">
        <x:v>同/不同设备、IP 和号码</x:v>
      </x:c>
      <x:c r="H47" s="24" t="str">
        <x:v>达到滑动窗口阈值</x:v>
      </x:c>
      <x:c r="I47" s="24" t="str">
        <x:v>同号 5次/10分钟、10次/日；同IP 20号并发</x:v>
      </x:c>
      <x:c r="J47" s="24" t="str">
        <x:v>达阈值禁用并触发人机验证</x:v>
      </x:c>
      <x:c r="K47" s="24" t="str">
        <x:v>获取次数过多，请于 HH:mm 后重试。
请先完成安全验证。</x:v>
      </x:c>
      <x:c r="L47" s="24" t="str">
        <x:v>风控弹窗/验证码</x:v>
      </x:c>
      <x:c r="M47" s="24" t="str">
        <x:v>待实操；期望手机号码、设备、IP 和风险分联合限流</x:v>
      </x:c>
      <x:c r="N47" s="24" t="str">
        <x:v>建议 10分钟；严重风险 24小时</x:v>
      </x:c>
      <x:c r="O47" s="24" t="str">
        <x:v>规则 ID、命中维度、人工解封；不泄露阈值细节</x:v>
      </x:c>
      <x:c r="P47" s="24" t="str">
        <x:v>到期、完成人机验证或申诉</x:v>
      </x:c>
      <x:c r="Q47" s="24" t="str">
        <x:v>待补 SMS-006</x:v>
      </x:c>
      <x:c r="R47" s="24" t="str"/>
    </x:row>
    <x:row r="48" ht="68" customHeight="1">
      <x:c r="A48" s="25" t="str">
        <x:v>SMS-007</x:v>
      </x:c>
      <x:c r="B48" s="25" t="str">
        <x:v>注册与短信</x:v>
      </x:c>
      <x:c r="C48" s="25" t="str">
        <x:v>待实操</x:v>
      </x:c>
      <x:c r="D48" s="25" t="str">
        <x:v>P0</x:v>
      </x:c>
      <x:c r="E48" s="24" t="str">
        <x:v>待注册用户</x:v>
      </x:c>
      <x:c r="F48" s="24" t="str">
        <x:v>官网与客户端当前版本</x:v>
      </x:c>
      <x:c r="G48" s="24" t="str">
        <x:v>同一设备/IP</x:v>
      </x:c>
      <x:c r="H48" s="24" t="str">
        <x:v>已收到验证码</x:v>
      </x:c>
      <x:c r="I48" s="24" t="str">
        <x:v>错码 1/5/10 次、过期码 1 次</x:v>
      </x:c>
      <x:c r="J48" s="24" t="str">
        <x:v>错误后恢复；达阈值临时禁用</x:v>
      </x:c>
      <x:c r="K48" s="24" t="str">
        <x:v>短信验证码错误或已失效。
错误次数过多，请重新获取验证码。</x:v>
      </x:c>
      <x:c r="L48" s="24" t="str">
        <x:v>字段提示/Toast</x:v>
      </x:c>
      <x:c r="M48" s="24" t="str">
        <x:v>待实操；期望连续 5 次错误使当前验证码失效，不允许无限试码</x:v>
      </x:c>
      <x:c r="N48" s="24" t="str">
        <x:v>达阈值后 10分钟或重新取码</x:v>
      </x:c>
      <x:c r="O48" s="24" t="str">
        <x:v>验证结果和失败次数，不记明文码</x:v>
      </x:c>
      <x:c r="P48" s="24" t="str">
        <x:v>重新取码</x:v>
      </x:c>
      <x:c r="Q48" s="24" t="str">
        <x:v>待补 SMS-007</x:v>
      </x:c>
      <x:c r="R48" s="24" t="str"/>
    </x:row>
    <x:row r="49" ht="68" customHeight="1">
      <x:c r="A49" s="25" t="str">
        <x:v>SMS-008</x:v>
      </x:c>
      <x:c r="B49" s="25" t="str">
        <x:v>注册与短信</x:v>
      </x:c>
      <x:c r="C49" s="25" t="str">
        <x:v>待实操</x:v>
      </x:c>
      <x:c r="D49" s="25" t="str">
        <x:v>P0</x:v>
      </x:c>
      <x:c r="E49" s="24" t="str">
        <x:v>待注册用户</x:v>
      </x:c>
      <x:c r="F49" s="24" t="str">
        <x:v>官网与客户端当前版本</x:v>
      </x:c>
      <x:c r="G49" s="24" t="str">
        <x:v>两设备/两标签、同一号码</x:v>
      </x:c>
      <x:c r="H49" s="24" t="str">
        <x:v>已发送旧验证码</x:v>
      </x:c>
      <x:c r="I49" s="24" t="str">
        <x:v>2 标签、2 设备依次重发</x:v>
      </x:c>
      <x:c r="J49" s="24" t="str">
        <x:v>新码发出后明确旧码失效</x:v>
      </x:c>
      <x:c r="K49" s="24" t="str">
        <x:v>验证码已更新，请使用最新短信中的验证码。</x:v>
      </x:c>
      <x:c r="L49" s="24" t="str">
        <x:v>Toast</x:v>
      </x:c>
      <x:c r="M49" s="24" t="str">
        <x:v>待实操；期望同一业务场景仅最新验证码有效</x:v>
      </x:c>
      <x:c r="N49" s="24" t="str">
        <x:v>60s</x:v>
      </x:c>
      <x:c r="O49" s="24" t="str">
        <x:v>验证码版本、请求设备、失效原因</x:v>
      </x:c>
      <x:c r="P49" s="24" t="str">
        <x:v>使用最新验证码</x:v>
      </x:c>
      <x:c r="Q49" s="24" t="str">
        <x:v>待补 SMS-008</x:v>
      </x:c>
      <x:c r="R49" s="24" t="str"/>
    </x:row>
    <x:row r="50" ht="68" customHeight="1">
      <x:c r="A50" s="25" t="str">
        <x:v>SMS-009</x:v>
      </x:c>
      <x:c r="B50" s="25" t="str">
        <x:v>注册与短信</x:v>
      </x:c>
      <x:c r="C50" s="25" t="str">
        <x:v>待实操</x:v>
      </x:c>
      <x:c r="D50" s="25" t="str">
        <x:v>P1</x:v>
      </x:c>
      <x:c r="E50" s="24" t="str">
        <x:v>待注册用户</x:v>
      </x:c>
      <x:c r="F50" s="24" t="str">
        <x:v>官网与客户端当前版本</x:v>
      </x:c>
      <x:c r="G50" s="24" t="str">
        <x:v>正常网/弱网；记录 IP</x:v>
      </x:c>
      <x:c r="H50" s="24" t="str">
        <x:v>短信供应商失败或状态未知</x:v>
      </x:c>
      <x:c r="I50" s="24" t="str">
        <x:v>重试 3 次</x:v>
      </x:c>
      <x:c r="J50" s="24" t="str">
        <x:v>区分发送失败和已提交供应商</x:v>
      </x:c>
      <x:c r="K50" s="24" t="str">
        <x:v>确定失败：发送失败，请稍后重试。
状态未知：短信可能延迟，请勿重复获取。</x:v>
      </x:c>
      <x:c r="L50" s="24" t="str">
        <x:v>Toast</x:v>
      </x:c>
      <x:c r="M50" s="24" t="str">
        <x:v>待实操；期望确定失败不消耗配额，未知状态不重复轰炸</x:v>
      </x:c>
      <x:c r="N50" s="24" t="str">
        <x:v>确定失败 3s；未知 30s</x:v>
      </x:c>
      <x:c r="O50" s="24" t="str">
        <x:v>供应商响应、送达回执、追踪码</x:v>
      </x:c>
      <x:c r="P50" s="24" t="str">
        <x:v>切换供应商、语音码或客服</x:v>
      </x:c>
      <x:c r="Q50" s="24" t="str">
        <x:v>待补 SMS-009</x:v>
      </x:c>
      <x:c r="R50" s="24" t="str"/>
    </x:row>
    <x:row r="51" ht="68" customHeight="1">
      <x:c r="A51" s="25" t="str">
        <x:v>SMS-010</x:v>
      </x:c>
      <x:c r="B51" s="25" t="str">
        <x:v>注册与短信</x:v>
      </x:c>
      <x:c r="C51" s="25" t="str">
        <x:v>待实操</x:v>
      </x:c>
      <x:c r="D51" s="25" t="str">
        <x:v>P0</x:v>
      </x:c>
      <x:c r="E51" s="24" t="str">
        <x:v>待注册用户</x:v>
      </x:c>
      <x:c r="F51" s="24" t="str">
        <x:v>官网与客户端当前版本</x:v>
      </x:c>
      <x:c r="G51" s="24" t="str">
        <x:v>两标签/同一设备/IP</x:v>
      </x:c>
      <x:c r="H51" s="24" t="str">
        <x:v>验证码正确、协议已同意</x:v>
      </x:c>
      <x:c r="I51" s="24" t="str">
        <x:v>双击提交、2 标签并发</x:v>
      </x:c>
      <x:c r="J51" s="24" t="str">
        <x:v>首次后按钮显示正在注册并全端锁定</x:v>
      </x:c>
      <x:c r="K51" s="24" t="str">
        <x:v>正在注册，请勿重复提交。</x:v>
      </x:c>
      <x:c r="L51" s="24" t="str">
        <x:v>Toast</x:v>
      </x:c>
      <x:c r="M51" s="24" t="str">
        <x:v>待实操；期望幂等，只创建一个账号</x:v>
      </x:c>
      <x:c r="N51" s="24" t="str">
        <x:v>结果返回前锁定；超时后先查结果</x:v>
      </x:c>
      <x:c r="O51" s="24" t="str">
        <x:v>幂等键、账号 ID、请求来源</x:v>
      </x:c>
      <x:c r="P51" s="24" t="str">
        <x:v>查询原结果或重新登录</x:v>
      </x:c>
      <x:c r="Q51" s="24" t="str">
        <x:v>待补 SMS-010</x:v>
      </x:c>
      <x:c r="R51" s="24" t="str"/>
    </x:row>
    <x:row r="52" ht="68" customHeight="1">
      <x:c r="A52" s="25" t="str">
        <x:v>SMS-011</x:v>
      </x:c>
      <x:c r="B52" s="25" t="str">
        <x:v>注册与短信</x:v>
      </x:c>
      <x:c r="C52" s="25" t="str">
        <x:v>待实操</x:v>
      </x:c>
      <x:c r="D52" s="25" t="str">
        <x:v>P0</x:v>
      </x:c>
      <x:c r="E52" s="24" t="str">
        <x:v>已注册手机号码用户</x:v>
      </x:c>
      <x:c r="F52" s="24" t="str">
        <x:v>官网与客户端当前版本</x:v>
      </x:c>
      <x:c r="G52" s="24" t="str">
        <x:v>同一/不同设备与 IP</x:v>
      </x:c>
      <x:c r="H52" s="24" t="str">
        <x:v>手机号码已注册</x:v>
      </x:c>
      <x:c r="I52" s="24" t="str">
        <x:v>1/3/10 次</x:v>
      </x:c>
      <x:c r="J52" s="24" t="str">
        <x:v>停止注册并提供登录入口</x:v>
      </x:c>
      <x:c r="K52" s="24" t="str">
        <x:v>该手机号码已注册，请直接登录或更换手机号码。</x:v>
      </x:c>
      <x:c r="L52" s="24" t="str">
        <x:v>字段提示/弹窗</x:v>
      </x:c>
      <x:c r="M52" s="24" t="str">
        <x:v>待实操；期望不重复创建账号，并限制批量账号枚举</x:v>
      </x:c>
      <x:c r="N52" s="24" t="str">
        <x:v>无；高频触发风控</x:v>
      </x:c>
      <x:c r="O52" s="24" t="str">
        <x:v>重复注册事件、设备/IP 哈希</x:v>
      </x:c>
      <x:c r="P52" s="24" t="str">
        <x:v>转验证码登录或更换号码</x:v>
      </x:c>
      <x:c r="Q52" s="24" t="str">
        <x:v>待补 SMS-011</x:v>
      </x:c>
      <x:c r="R52" s="24" t="str"/>
    </x:row>
    <x:row r="53" ht="68" customHeight="1">
      <x:c r="A53" s="25" t="str">
        <x:v>SMS-012</x:v>
      </x:c>
      <x:c r="B53" s="25" t="str">
        <x:v>注册与短信</x:v>
      </x:c>
      <x:c r="C53" s="25" t="str">
        <x:v>待实操</x:v>
      </x:c>
      <x:c r="D53" s="25" t="str">
        <x:v>P0</x:v>
      </x:c>
      <x:c r="E53" s="24" t="str">
        <x:v>新注册用户</x:v>
      </x:c>
      <x:c r="F53" s="24" t="str">
        <x:v>官网与客户端当前版本</x:v>
      </x:c>
      <x:c r="G53" s="24" t="str">
        <x:v>同一设备/IP</x:v>
      </x:c>
      <x:c r="H53" s="24" t="str">
        <x:v>注册成功</x:v>
      </x:c>
      <x:c r="I53" s="24" t="str">
        <x:v>刷新、后退、再次提交各 3 次</x:v>
      </x:c>
      <x:c r="J53" s="24" t="str">
        <x:v>显示成功态和前往登录；注册按钮不再可用</x:v>
      </x:c>
      <x:c r="K53" s="24" t="str">
        <x:v>注册成功，请登录。</x:v>
      </x:c>
      <x:c r="L53" s="24" t="str">
        <x:v>成功页/弹窗</x:v>
      </x:c>
      <x:c r="M53" s="24" t="str">
        <x:v>待实操；期望注册码不复用为登录码；营销联系需独立同意</x:v>
      </x:c>
      <x:c r="N53" s="24" t="str">
        <x:v>登录取码重新执行 60s 规则</x:v>
      </x:c>
      <x:c r="O53" s="24" t="str">
        <x:v>注册、协议与营销同意版本；成功消息只发一次</x:v>
      </x:c>
      <x:c r="P53" s="24" t="str">
        <x:v>登录、撤回营销同意或申请注销</x:v>
      </x:c>
      <x:c r="Q53" s="24" t="str">
        <x:v>待补 SMS-012</x:v>
      </x:c>
      <x:c r="R53" s="24" t="str"/>
    </x:row>
    <x:row r="54" ht="68" customHeight="1">
      <x:c r="A54" s="25" t="str">
        <x:v>AUTH-001</x:v>
      </x:c>
      <x:c r="B54" s="25" t="str">
        <x:v>登录与账号</x:v>
      </x:c>
      <x:c r="C54" s="25" t="str">
        <x:v>待实操</x:v>
      </x:c>
      <x:c r="D54" s="25" t="str">
        <x:v>P1</x:v>
      </x:c>
      <x:c r="E54" s="24" t="str">
        <x:v>主账号/成员</x:v>
      </x:c>
      <x:c r="F54" s="24" t="str">
        <x:v>Windows/macOS 当前客户端</x:v>
      </x:c>
      <x:c r="G54" s="24" t="str">
        <x:v>当前设备/IP</x:v>
      </x:c>
      <x:c r="H54" s="24" t="str">
        <x:v>登录页打开</x:v>
      </x:c>
      <x:c r="I54" s="24" t="str">
        <x:v>空账号、空密码、非法格式各 3 次</x:v>
      </x:c>
      <x:c r="J54" s="24" t="str">
        <x:v>必填项完整前禁用或提交后恢复</x:v>
      </x:c>
      <x:c r="K54" s="24" t="str">
        <x:v>请输入账号和密码。</x:v>
      </x:c>
      <x:c r="L54" s="24" t="str">
        <x:v>字段提示</x:v>
      </x:c>
      <x:c r="M54" s="24" t="str">
        <x:v>待实操；期望不发起无效认证</x:v>
      </x:c>
      <x:c r="N54" s="24" t="str">
        <x:v>无</x:v>
      </x:c>
      <x:c r="O54" s="24" t="str">
        <x:v>字段级校验，不记录密码</x:v>
      </x:c>
      <x:c r="P54" s="24" t="str">
        <x:v>补全字段</x:v>
      </x:c>
      <x:c r="Q54" s="24" t="str">
        <x:v>待补 AUTH-001</x:v>
      </x:c>
      <x:c r="R54" s="24" t="str"/>
    </x:row>
    <x:row r="55" ht="68" customHeight="1">
      <x:c r="A55" s="25" t="str">
        <x:v>AUTH-002</x:v>
      </x:c>
      <x:c r="B55" s="25" t="str">
        <x:v>登录与账号</x:v>
      </x:c>
      <x:c r="C55" s="25" t="str">
        <x:v>待实操</x:v>
      </x:c>
      <x:c r="D55" s="25" t="str">
        <x:v>P0</x:v>
      </x:c>
      <x:c r="E55" s="24" t="str">
        <x:v>主账号/成员</x:v>
      </x:c>
      <x:c r="F55" s="24" t="str">
        <x:v>当前客户端</x:v>
      </x:c>
      <x:c r="G55" s="24" t="str">
        <x:v>同/不同设备/IP</x:v>
      </x:c>
      <x:c r="H55" s="24" t="str">
        <x:v>账号存在</x:v>
      </x:c>
      <x:c r="I55" s="24" t="str">
        <x:v>错误密码 1/4 次</x:v>
      </x:c>
      <x:c r="J55" s="24" t="str">
        <x:v>每次返回后恢复可点</x:v>
      </x:c>
      <x:c r="K55" s="24" t="str">
        <x:v>账号或密码错误。</x:v>
      </x:c>
      <x:c r="L55" s="24" t="str">
        <x:v>字段提示/Toast</x:v>
      </x:c>
      <x:c r="M55" s="24" t="str">
        <x:v>待实操；期望不暴露账号是否存在，失败不改变业务数据</x:v>
      </x:c>
      <x:c r="N55" s="24" t="str">
        <x:v>失败间隔 1s</x:v>
      </x:c>
      <x:c r="O55" s="24" t="str">
        <x:v>登录失败、设备/IP 哈希、风险分</x:v>
      </x:c>
      <x:c r="P55" s="24" t="str">
        <x:v>重新输入或找回密码</x:v>
      </x:c>
      <x:c r="Q55" s="24" t="str">
        <x:v>待补 AUTH-002</x:v>
      </x:c>
      <x:c r="R55" s="24" t="str"/>
    </x:row>
    <x:row r="56" ht="68" customHeight="1">
      <x:c r="A56" s="25" t="str">
        <x:v>AUTH-003</x:v>
      </x:c>
      <x:c r="B56" s="25" t="str">
        <x:v>登录与账号</x:v>
      </x:c>
      <x:c r="C56" s="25" t="str">
        <x:v>待实操</x:v>
      </x:c>
      <x:c r="D56" s="25" t="str">
        <x:v>P0</x:v>
      </x:c>
      <x:c r="E56" s="24" t="str">
        <x:v>主账号/成员</x:v>
      </x:c>
      <x:c r="F56" s="24" t="str">
        <x:v>当前客户端</x:v>
      </x:c>
      <x:c r="G56" s="24" t="str">
        <x:v>同/不同设备/IP</x:v>
      </x:c>
      <x:c r="H56" s="24" t="str">
        <x:v>连续认证失败</x:v>
      </x:c>
      <x:c r="I56" s="24" t="str">
        <x:v>5次/15分钟、10次/日</x:v>
      </x:c>
      <x:c r="J56" s="24" t="str">
        <x:v>达阈值后禁用并提供找回入口</x:v>
      </x:c>
      <x:c r="K56" s="24" t="str">
        <x:v>尝试次数过多，请于 HH:mm 后重试或重置密码。</x:v>
      </x:c>
      <x:c r="L56" s="24" t="str">
        <x:v>安全弹窗</x:v>
      </x:c>
      <x:c r="M56" s="24" t="str">
        <x:v>待实操；期望 5 次失败锁定 15 分钟，高风险触发强验证</x:v>
      </x:c>
      <x:c r="N56" s="24" t="str">
        <x:v>建议 15分钟；高风险 24小时</x:v>
      </x:c>
      <x:c r="O56" s="24" t="str">
        <x:v>安全日志和账号安全通知</x:v>
      </x:c>
      <x:c r="P56" s="24" t="str">
        <x:v>到期、重置密码或管理员解锁</x:v>
      </x:c>
      <x:c r="Q56" s="24" t="str">
        <x:v>待补 AUTH-003</x:v>
      </x:c>
      <x:c r="R56" s="24" t="str"/>
    </x:row>
    <x:row r="57" ht="68" customHeight="1">
      <x:c r="A57" s="25" t="str">
        <x:v>AUTH-004</x:v>
      </x:c>
      <x:c r="B57" s="25" t="str">
        <x:v>登录与账号</x:v>
      </x:c>
      <x:c r="C57" s="25" t="str">
        <x:v>待实操</x:v>
      </x:c>
      <x:c r="D57" s="25" t="str">
        <x:v>P1</x:v>
      </x:c>
      <x:c r="E57" s="24" t="str">
        <x:v>新成员</x:v>
      </x:c>
      <x:c r="F57" s="24" t="str">
        <x:v>当前客户端</x:v>
      </x:c>
      <x:c r="G57" s="24" t="str">
        <x:v>当前设备/IP</x:v>
      </x:c>
      <x:c r="H57" s="24" t="str">
        <x:v>管理员已创建成员</x:v>
      </x:c>
      <x:c r="I57" s="24" t="str">
        <x:v>密码激活、短信激活各 1 次</x:v>
      </x:c>
      <x:c r="J57" s="24" t="str">
        <x:v>激活中禁用重复提交</x:v>
      </x:c>
      <x:c r="K57" s="24" t="str">
        <x:v>激活信息无效或已失效，请联系管理员重新发送。</x:v>
      </x:c>
      <x:c r="L57" s="24" t="str">
        <x:v>阻断弹窗</x:v>
      </x:c>
      <x:c r="M57" s="24" t="str">
        <x:v>待实操；期望失败不产生半激活账号</x:v>
      </x:c>
      <x:c r="N57" s="24" t="str">
        <x:v>失败 3 次后 10分钟</x:v>
      </x:c>
      <x:c r="O57" s="24" t="str">
        <x:v>激活方式、成员 ID、团队 ID</x:v>
      </x:c>
      <x:c r="P57" s="24" t="str">
        <x:v>重试或管理员重置</x:v>
      </x:c>
      <x:c r="Q57" s="24" t="str">
        <x:v>待补 AUTH-004</x:v>
      </x:c>
      <x:c r="R57" s="24" t="str"/>
    </x:row>
    <x:row r="58" ht="68" customHeight="1">
      <x:c r="A58" s="25" t="str">
        <x:v>AUTH-005</x:v>
      </x:c>
      <x:c r="B58" s="25" t="str">
        <x:v>登录与账号</x:v>
      </x:c>
      <x:c r="C58" s="25" t="str">
        <x:v>待实操</x:v>
      </x:c>
      <x:c r="D58" s="25" t="str">
        <x:v>P0</x:v>
      </x:c>
      <x:c r="E58" s="24" t="str">
        <x:v>多团队成员</x:v>
      </x:c>
      <x:c r="F58" s="24" t="str">
        <x:v>当前客户端</x:v>
      </x:c>
      <x:c r="G58" s="24" t="str">
        <x:v>当前设备/IP</x:v>
      </x:c>
      <x:c r="H58" s="24" t="str">
        <x:v>同一身份属于多个团队</x:v>
      </x:c>
      <x:c r="I58" s="24" t="str">
        <x:v>快速切换 5 次、双窗口并发</x:v>
      </x:c>
      <x:c r="J58" s="24" t="str">
        <x:v>未选择团队前进入禁用；切换中锁定</x:v>
      </x:c>
      <x:c r="K58" s="24" t="str">
        <x:v>请选择要进入的团队。</x:v>
      </x:c>
      <x:c r="L58" s="24" t="str">
        <x:v>团队选择弹窗</x:v>
      </x:c>
      <x:c r="M58" s="24" t="str">
        <x:v>待实操；期望一次会话只有一个当前租户，不串店铺/设备/账单</x:v>
      </x:c>
      <x:c r="N58" s="24" t="str">
        <x:v>切换完成前禁用</x:v>
      </x:c>
      <x:c r="O58" s="24" t="str">
        <x:v>团队选择、原/目标租户、会话 ID</x:v>
      </x:c>
      <x:c r="P58" s="24" t="str">
        <x:v>返回重新选择</x:v>
      </x:c>
      <x:c r="Q58" s="24" t="str">
        <x:v>待补 AUTH-005</x:v>
      </x:c>
      <x:c r="R58" s="24" t="str"/>
    </x:row>
    <x:row r="59" ht="68" customHeight="1">
      <x:c r="A59" s="25" t="str">
        <x:v>AUTH-006</x:v>
      </x:c>
      <x:c r="B59" s="25" t="str">
        <x:v>登录与账号</x:v>
      </x:c>
      <x:c r="C59" s="25" t="str">
        <x:v>待实操</x:v>
      </x:c>
      <x:c r="D59" s="25" t="str">
        <x:v>P0</x:v>
      </x:c>
      <x:c r="E59" s="24" t="str">
        <x:v>被暂停/删除成员</x:v>
      </x:c>
      <x:c r="F59" s="24" t="str">
        <x:v>当前客户端</x:v>
      </x:c>
      <x:c r="G59" s="24" t="str">
        <x:v>已登录/新设备/IP</x:v>
      </x:c>
      <x:c r="H59" s="24" t="str">
        <x:v>旧凭证或会话仍存在</x:v>
      </x:c>
      <x:c r="I59" s="24" t="str">
        <x:v>登录 3 次、旧会话请求 10 次</x:v>
      </x:c>
      <x:c r="J59" s="24" t="str">
        <x:v>登录结果明确阻断；旧会话失效</x:v>
      </x:c>
      <x:c r="K59" s="24" t="str">
        <x:v>账号已停用，请联系团队管理员。</x:v>
      </x:c>
      <x:c r="L59" s="24" t="str">
        <x:v>阻断弹窗</x:v>
      </x:c>
      <x:c r="M59" s="24" t="str">
        <x:v>待实操；期望不签发新会话并撤销旧 token</x:v>
      </x:c>
      <x:c r="N59" s="24" t="str">
        <x:v>无</x:v>
      </x:c>
      <x:c r="O59" s="24" t="str">
        <x:v>安全日志并通知管理员</x:v>
      </x:c>
      <x:c r="P59" s="24" t="str">
        <x:v>管理员恢复或重新创建</x:v>
      </x:c>
      <x:c r="Q59" s="24" t="str">
        <x:v>待补 AUTH-006</x:v>
      </x:c>
      <x:c r="R59" s="24" t="str"/>
    </x:row>
    <x:row r="60" ht="68" customHeight="1">
      <x:c r="A60" s="25" t="str">
        <x:v>AUTH-007</x:v>
      </x:c>
      <x:c r="B60" s="25" t="str">
        <x:v>登录与账号</x:v>
      </x:c>
      <x:c r="C60" s="25" t="str">
        <x:v>待实操</x:v>
      </x:c>
      <x:c r="D60" s="25" t="str">
        <x:v>P0</x:v>
      </x:c>
      <x:c r="E60" s="24" t="str">
        <x:v>受登录限制成员</x:v>
      </x:c>
      <x:c r="F60" s="24" t="str">
        <x:v>当前客户端</x:v>
      </x:c>
      <x:c r="G60" s="24" t="str">
        <x:v>新终端/异地 IP/受限时段</x:v>
      </x:c>
      <x:c r="H60" s="24" t="str">
        <x:v>命中团队策略</x:v>
      </x:c>
      <x:c r="I60" s="24" t="str">
        <x:v>每类 2 次；重复申请 5 次</x:v>
      </x:c>
      <x:c r="J60" s="24" t="str">
        <x:v>提供申请登录；审批中禁用重复申请</x:v>
      </x:c>
      <x:c r="K60" s="24" t="str">
        <x:v>当前登录不符合团队安全策略，请提交登录申请。</x:v>
      </x:c>
      <x:c r="L60" s="24" t="str">
        <x:v>策略阻断弹窗</x:v>
      </x:c>
      <x:c r="M60" s="24" t="str">
        <x:v>待实操；期望服务端阻断并生成唯一审批单</x:v>
      </x:c>
      <x:c r="N60" s="24" t="str">
        <x:v>同条件申请 5分钟</x:v>
      </x:c>
      <x:c r="O60" s="24" t="str">
        <x:v>策略 ID、终端、地区、审批链</x:v>
      </x:c>
      <x:c r="P60" s="24" t="str">
        <x:v>管理员审批或满足策略后重试</x:v>
      </x:c>
      <x:c r="Q60" s="24" t="str">
        <x:v>待补 AUTH-007</x:v>
      </x:c>
      <x:c r="R60" s="24" t="str"/>
    </x:row>
    <x:row r="61" ht="68" customHeight="1">
      <x:c r="A61" s="25" t="str">
        <x:v>AUTH-008</x:v>
      </x:c>
      <x:c r="B61" s="25" t="str">
        <x:v>登录与账号</x:v>
      </x:c>
      <x:c r="C61" s="25" t="str">
        <x:v>待实操</x:v>
      </x:c>
      <x:c r="D61" s="25" t="str">
        <x:v>P0</x:v>
      </x:c>
      <x:c r="E61" s="24" t="str">
        <x:v>忘记密码用户</x:v>
      </x:c>
      <x:c r="F61" s="24" t="str">
        <x:v>当前客户端</x:v>
      </x:c>
      <x:c r="G61" s="24" t="str">
        <x:v>当前设备/IP</x:v>
      </x:c>
      <x:c r="H61" s="24" t="str">
        <x:v>绑定手机可用</x:v>
      </x:c>
      <x:c r="I61" s="24" t="str">
        <x:v>找回 1/3 次，错码 5 次</x:v>
      </x:c>
      <x:c r="J61" s="24" t="str">
        <x:v>身份验证完成前重置禁用</x:v>
      </x:c>
      <x:c r="K61" s="24" t="str">
        <x:v>身份验证失败，请重新获取短信验证码。</x:v>
      </x:c>
      <x:c r="L61" s="24" t="str">
        <x:v>字段提示/弹窗</x:v>
      </x:c>
      <x:c r="M61" s="24" t="str">
        <x:v>待实操；期望重置后旧密码和相关会话失效</x:v>
      </x:c>
      <x:c r="N61" s="24" t="str">
        <x:v>短信 60s；失败 5 次锁 10分钟</x:v>
      </x:c>
      <x:c r="O61" s="24" t="str">
        <x:v>凭证重置安全日志和通知</x:v>
      </x:c>
      <x:c r="P61" s="24" t="str">
        <x:v>重取码或人工申诉</x:v>
      </x:c>
      <x:c r="Q61" s="24" t="str">
        <x:v>待补 AUTH-008</x:v>
      </x:c>
      <x:c r="R61" s="24" t="str"/>
    </x:row>
    <x:row r="62" ht="68" customHeight="1">
      <x:c r="A62" s="25" t="str">
        <x:v>AUTH-009</x:v>
      </x:c>
      <x:c r="B62" s="25" t="str">
        <x:v>登录与账号</x:v>
      </x:c>
      <x:c r="C62" s="25" t="str">
        <x:v>待实操</x:v>
      </x:c>
      <x:c r="D62" s="25" t="str">
        <x:v>P0</x:v>
      </x:c>
      <x:c r="E62" s="24" t="str">
        <x:v>原手机不可用用户</x:v>
      </x:c>
      <x:c r="F62" s="24" t="str">
        <x:v>当前客户端</x:v>
      </x:c>
      <x:c r="G62" s="24" t="str">
        <x:v>当前设备/IP</x:v>
      </x:c>
      <x:c r="H62" s="24" t="str">
        <x:v>可提供账号所有权信息</x:v>
      </x:c>
      <x:c r="I62" s="24" t="str">
        <x:v>发起申诉 1 次、重复提交 3 次</x:v>
      </x:c>
      <x:c r="J62" s="24" t="str">
        <x:v>提供手机号码无法使用入口；提交中禁用</x:v>
      </x:c>
      <x:c r="K62" s="24" t="str">
        <x:v>原手机号码无法使用，请通过账号申诉完成身份核验。</x:v>
      </x:c>
      <x:c r="L62" s="24" t="str">
        <x:v>申诉弹窗</x:v>
      </x:c>
      <x:c r="M62" s="24" t="str">
        <x:v>待实操；期望不强制要求不可用旧号码取码</x:v>
      </x:c>
      <x:c r="N62" s="24" t="str">
        <x:v>申诉提交后 24小时内不重复</x:v>
      </x:c>
      <x:c r="O62" s="24" t="str">
        <x:v>申诉单、材料访问审计、换号通知</x:v>
      </x:c>
      <x:c r="P62" s="24" t="str">
        <x:v>申诉、管理员或客服核验</x:v>
      </x:c>
      <x:c r="Q62" s="24" t="str">
        <x:v>待补 AUTH-009</x:v>
      </x:c>
      <x:c r="R62" s="24" t="str"/>
    </x:row>
    <x:row r="63" ht="68" customHeight="1">
      <x:c r="A63" s="25" t="str">
        <x:v>AUTH-010</x:v>
      </x:c>
      <x:c r="B63" s="25" t="str">
        <x:v>登录与账号</x:v>
      </x:c>
      <x:c r="C63" s="25" t="str">
        <x:v>待实操</x:v>
      </x:c>
      <x:c r="D63" s="25" t="str">
        <x:v>P0</x:v>
      </x:c>
      <x:c r="E63" s="24" t="str">
        <x:v>已登录用户</x:v>
      </x:c>
      <x:c r="F63" s="24" t="str">
        <x:v>当前客户端</x:v>
      </x:c>
      <x:c r="G63" s="24" t="str">
        <x:v>多设备/不同 IP</x:v>
      </x:c>
      <x:c r="H63" s="24" t="str">
        <x:v>多端存在会话</x:v>
      </x:c>
      <x:c r="I63" s="24" t="str">
        <x:v>当前退出、全部退出、改密各 1 次</x:v>
      </x:c>
      <x:c r="J63" s="24" t="str">
        <x:v>操作中禁用；全部退出二次确认</x:v>
      </x:c>
      <x:c r="K63" s="24" t="str">
        <x:v>登录状态已失效，请重新登录。</x:v>
      </x:c>
      <x:c r="L63" s="24" t="str">
        <x:v>Toast/登录页</x:v>
      </x:c>
      <x:c r="M63" s="24" t="str">
        <x:v>待实操；期望改密和全部退出撤销相关 token，当前退出只结束本机</x:v>
      </x:c>
      <x:c r="N63" s="24" t="str">
        <x:v>无</x:v>
      </x:c>
      <x:c r="O63" s="24" t="str">
        <x:v>会话撤销、设备、原因；安全通知</x:v>
      </x:c>
      <x:c r="P63" s="24" t="str">
        <x:v>重新登录</x:v>
      </x:c>
      <x:c r="Q63" s="24" t="str">
        <x:v>待补 AUTH-010</x:v>
      </x:c>
      <x:c r="R63" s="24" t="str"/>
    </x:row>
    <x:row r="64" ht="68" customHeight="1">
      <x:c r="A64" s="25" t="str">
        <x:v>AUTH-011</x:v>
      </x:c>
      <x:c r="B64" s="25" t="str">
        <x:v>登录与账号</x:v>
      </x:c>
      <x:c r="C64" s="25" t="str">
        <x:v>待实操</x:v>
      </x:c>
      <x:c r="D64" s="25" t="str">
        <x:v>P1</x:v>
      </x:c>
      <x:c r="E64" s="24" t="str">
        <x:v>共用设备用户</x:v>
      </x:c>
      <x:c r="F64" s="24" t="str">
        <x:v>当前客户端</x:v>
      </x:c>
      <x:c r="G64" s="24" t="str">
        <x:v>共用 Windows/macOS 终端</x:v>
      </x:c>
      <x:c r="H64" s="24" t="str">
        <x:v>存在历史登录号码</x:v>
      </x:c>
      <x:c r="I64" s="24" t="str">
        <x:v>保存、删除、切换各 3 次</x:v>
      </x:c>
      <x:c r="J64" s="24" t="str">
        <x:v>默认不保存；可逐项清除</x:v>
      </x:c>
      <x:c r="K64" s="24" t="str">
        <x:v>已清除本机保存的登录号码。</x:v>
      </x:c>
      <x:c r="L64" s="24" t="str">
        <x:v>Toast</x:v>
      </x:c>
      <x:c r="M64" s="24" t="str">
        <x:v>待实操；期望只保存脱敏号码，不同步密码或验证码</x:v>
      </x:c>
      <x:c r="N64" s="24" t="str">
        <x:v>无</x:v>
      </x:c>
      <x:c r="O64" s="24" t="str">
        <x:v>本地设置变更；不上传完整号码</x:v>
      </x:c>
      <x:c r="P64" s="24" t="str">
        <x:v>重新输入号码</x:v>
      </x:c>
      <x:c r="Q64" s="24" t="str">
        <x:v>待补 AUTH-011</x:v>
      </x:c>
      <x:c r="R64" s="24" t="str"/>
    </x:row>
    <x:row r="65" ht="68" customHeight="1">
      <x:c r="A65" s="25" t="str">
        <x:v>AUTH-012</x:v>
      </x:c>
      <x:c r="B65" s="25" t="str">
        <x:v>登录与账号</x:v>
      </x:c>
      <x:c r="C65" s="25" t="str">
        <x:v>待实操</x:v>
      </x:c>
      <x:c r="D65" s="25" t="str">
        <x:v>P0</x:v>
      </x:c>
      <x:c r="E65" s="24" t="str">
        <x:v>登录用户</x:v>
      </x:c>
      <x:c r="F65" s="24" t="str">
        <x:v>当前客户端</x:v>
      </x:c>
      <x:c r="G65" s="24" t="str">
        <x:v>弱网/断网；记录 IP</x:v>
      </x:c>
      <x:c r="H65" s="24" t="str">
        <x:v>认证请求已提交</x:v>
      </x:c>
      <x:c r="I65" s="24" t="str">
        <x:v>双击登录、断网恢复、重试各 3 次</x:v>
      </x:c>
      <x:c r="J65" s="24" t="str">
        <x:v>请求中 Loading；超时后先查会话再恢复</x:v>
      </x:c>
      <x:c r="K65" s="24" t="str">
        <x:v>网络异常，登录结果未知，请勿重复操作。</x:v>
      </x:c>
      <x:c r="L65" s="24" t="str">
        <x:v>状态弹窗</x:v>
      </x:c>
      <x:c r="M65" s="24" t="str">
        <x:v>待实操；期望不重复创建会话，不无限加载</x:v>
      </x:c>
      <x:c r="N65" s="24" t="str">
        <x:v>重试 1/3/10s</x:v>
      </x:c>
      <x:c r="O65" s="24" t="str">
        <x:v>认证追踪码、状态码、最终会话数</x:v>
      </x:c>
      <x:c r="P65" s="24" t="str">
        <x:v>自动查询或手动重试</x:v>
      </x:c>
      <x:c r="Q65" s="24" t="str">
        <x:v>待补 AUTH-012</x:v>
      </x:c>
      <x:c r="R65" s="24" t="str"/>
    </x:row>
    <x:row r="66" ht="68" customHeight="1">
      <x:c r="A66" s="25" t="str">
        <x:v>APP-001</x:v>
      </x:c>
      <x:c r="B66" s="25" t="str">
        <x:v>应用框架</x:v>
      </x:c>
      <x:c r="C66" s="25" t="str">
        <x:v>待实操</x:v>
      </x:c>
      <x:c r="D66" s="25" t="str">
        <x:v>P1</x:v>
      </x:c>
      <x:c r="E66" s="24" t="str">
        <x:v>登录用户</x:v>
      </x:c>
      <x:c r="F66" s="24" t="str">
        <x:v>当前客户端</x:v>
      </x:c>
      <x:c r="G66" s="24" t="str">
        <x:v>当前设备/IP</x:v>
      </x:c>
      <x:c r="H66" s="24" t="str">
        <x:v>会话有效</x:v>
      </x:c>
      <x:c r="I66" s="24" t="str">
        <x:v>冷启动、刷新各 5 次</x:v>
      </x:c>
      <x:c r="J66" s="24" t="str">
        <x:v>稳定骨架屏，导航不跳动</x:v>
      </x:c>
      <x:c r="K66" s="24" t="str">
        <x:v>加载失败，请重试。</x:v>
      </x:c>
      <x:c r="L66" s="24" t="str">
        <x:v>整页错误态</x:v>
      </x:c>
      <x:c r="M66" s="24" t="str">
        <x:v>待实操；期望关键上下文失败时不进入错误团队</x:v>
      </x:c>
      <x:c r="N66" s="24" t="str">
        <x:v>请求超时 10s</x:v>
      </x:c>
      <x:c r="O66" s="24" t="str">
        <x:v>启动阶段、版本、接口耗时、追踪码</x:v>
      </x:c>
      <x:c r="P66" s="24" t="str">
        <x:v>局部或整页重试</x:v>
      </x:c>
      <x:c r="Q66" s="24" t="str">
        <x:v>待补 APP-001</x:v>
      </x:c>
      <x:c r="R66" s="24" t="str"/>
    </x:row>
    <x:row r="67" ht="68" customHeight="1">
      <x:c r="A67" s="25" t="str">
        <x:v>APP-002</x:v>
      </x:c>
      <x:c r="B67" s="25" t="str">
        <x:v>应用框架</x:v>
      </x:c>
      <x:c r="C67" s="25" t="str">
        <x:v>待实操</x:v>
      </x:c>
      <x:c r="D67" s="25" t="str">
        <x:v>P1</x:v>
      </x:c>
      <x:c r="E67" s="24" t="str">
        <x:v>登录用户</x:v>
      </x:c>
      <x:c r="F67" s="24" t="str">
        <x:v>当前客户端</x:v>
      </x:c>
      <x:c r="G67" s="24" t="str">
        <x:v>正常网/弱网</x:v>
      </x:c>
      <x:c r="H67" s="24" t="str">
        <x:v>首页单个接口失败</x:v>
      </x:c>
      <x:c r="I67" s="24" t="str">
        <x:v>单接口失败、3接口并发失败</x:v>
      </x:c>
      <x:c r="J67" s="24" t="str">
        <x:v>失败卡片局部重试，其余模块可用</x:v>
      </x:c>
      <x:c r="K67" s="24" t="str">
        <x:v>该模块加载失败，请重试。</x:v>
      </x:c>
      <x:c r="L67" s="24" t="str">
        <x:v>卡片错误态</x:v>
      </x:c>
      <x:c r="M67" s="24" t="str">
        <x:v>待实操；期望局部故障不拖垮整个应用</x:v>
      </x:c>
      <x:c r="N67" s="24" t="str">
        <x:v>1/3/10s</x:v>
      </x:c>
      <x:c r="O67" s="24" t="str">
        <x:v>组件、接口、错误码</x:v>
      </x:c>
      <x:c r="P67" s="24" t="str">
        <x:v>局部重试</x:v>
      </x:c>
      <x:c r="Q67" s="24" t="str">
        <x:v>待补 APP-002</x:v>
      </x:c>
      <x:c r="R67" s="24" t="str"/>
    </x:row>
    <x:row r="68" ht="68" customHeight="1">
      <x:c r="A68" s="25" t="str">
        <x:v>APP-003</x:v>
      </x:c>
      <x:c r="B68" s="25" t="str">
        <x:v>应用框架</x:v>
      </x:c>
      <x:c r="C68" s="25" t="str">
        <x:v>待实操</x:v>
      </x:c>
      <x:c r="D68" s="25" t="str">
        <x:v>P0</x:v>
      </x:c>
      <x:c r="E68" s="24" t="str">
        <x:v>不同角色成员</x:v>
      </x:c>
      <x:c r="F68" s="24" t="str">
        <x:v>当前客户端</x:v>
      </x:c>
      <x:c r="G68" s="24" t="str">
        <x:v>当前设备/IP</x:v>
      </x:c>
      <x:c r="H68" s="24" t="str">
        <x:v>角色权限不同</x:v>
      </x:c>
      <x:c r="I68" s="24" t="str">
        <x:v>登录后检查全导航；直达无权 URL 3 次</x:v>
      </x:c>
      <x:c r="J68" s="24" t="str">
        <x:v>无权入口隐藏/禁用；直达返回 403</x:v>
      </x:c>
      <x:c r="K68" s="24" t="str">
        <x:v>暂无访问权限，请联系团队管理员。</x:v>
      </x:c>
      <x:c r="L68" s="24" t="str">
        <x:v>403 页面</x:v>
      </x:c>
      <x:c r="M68" s="24" t="str">
        <x:v>待实操；期望前端可见性和服务端鉴权一致</x:v>
      </x:c>
      <x:c r="N68" s="24" t="str">
        <x:v>权限变更后 30s 内刷新</x:v>
      </x:c>
      <x:c r="O68" s="24" t="str">
        <x:v>权限快照、角色、菜单计算和拒绝原因</x:v>
      </x:c>
      <x:c r="P68" s="24" t="str">
        <x:v>管理员授权后重新加载</x:v>
      </x:c>
      <x:c r="Q68" s="24" t="str">
        <x:v>待补 APP-003</x:v>
      </x:c>
      <x:c r="R68" s="24" t="str"/>
    </x:row>
    <x:row r="69" ht="68" customHeight="1">
      <x:c r="A69" s="25" t="str">
        <x:v>APP-004</x:v>
      </x:c>
      <x:c r="B69" s="25" t="str">
        <x:v>应用框架</x:v>
      </x:c>
      <x:c r="C69" s="25" t="str">
        <x:v>待实操</x:v>
      </x:c>
      <x:c r="D69" s="25" t="str">
        <x:v>P0</x:v>
      </x:c>
      <x:c r="E69" s="24" t="str">
        <x:v>多团队成员</x:v>
      </x:c>
      <x:c r="F69" s="24" t="str">
        <x:v>当前客户端</x:v>
      </x:c>
      <x:c r="G69" s="24" t="str">
        <x:v>当前设备/IP</x:v>
      </x:c>
      <x:c r="H69" s="24" t="str">
        <x:v>当前页存在未保存内容</x:v>
      </x:c>
      <x:c r="I69" s="24" t="str">
        <x:v>切换团队 3 次</x:v>
      </x:c>
      <x:c r="J69" s="24" t="str">
        <x:v>显示保存/放弃/取消；切换中全局锁定</x:v>
      </x:c>
      <x:c r="K69" s="24" t="str">
        <x:v>存在未保存内容，是否继续切换团队？</x:v>
      </x:c>
      <x:c r="L69" s="24" t="str">
        <x:v>确认弹窗</x:v>
      </x:c>
      <x:c r="M69" s="24" t="str">
        <x:v>待实操；期望切换后缓存、余额、消息和对象全部属于新团队</x:v>
      </x:c>
      <x:c r="N69" s="24" t="str">
        <x:v>切换完成前禁用</x:v>
      </x:c>
      <x:c r="O69" s="24" t="str">
        <x:v>原/目标团队、未保存状态、结果</x:v>
      </x:c>
      <x:c r="P69" s="24" t="str">
        <x:v>取消或保存后切换</x:v>
      </x:c>
      <x:c r="Q69" s="24" t="str">
        <x:v>待补 APP-004</x:v>
      </x:c>
      <x:c r="R69" s="24" t="str"/>
    </x:row>
    <x:row r="70" ht="68" customHeight="1">
      <x:c r="A70" s="25" t="str">
        <x:v>APP-005</x:v>
      </x:c>
      <x:c r="B70" s="25" t="str">
        <x:v>应用框架</x:v>
      </x:c>
      <x:c r="C70" s="25" t="str">
        <x:v>待实操</x:v>
      </x:c>
      <x:c r="D70" s="25" t="str">
        <x:v>P1</x:v>
      </x:c>
      <x:c r="E70" s="24" t="str">
        <x:v>登录用户</x:v>
      </x:c>
      <x:c r="F70" s="24" t="str">
        <x:v>当前客户端</x:v>
      </x:c>
      <x:c r="G70" s="24" t="str">
        <x:v>当前设备/IP</x:v>
      </x:c>
      <x:c r="H70" s="24" t="str">
        <x:v>快速点击多个导航</x:v>
      </x:c>
      <x:c r="I70" s="24" t="str">
        <x:v>连击 20 次、多标签 5 个</x:v>
      </x:c>
      <x:c r="J70" s="24" t="str">
        <x:v>当前请求可取消；重复目标合并</x:v>
      </x:c>
      <x:c r="K70" s="24" t="str">
        <x:v>页面正在加载，请稍候。</x:v>
      </x:c>
      <x:c r="L70" s="24" t="str">
        <x:v>顶部加载状态</x:v>
      </x:c>
      <x:c r="M70" s="24" t="str">
        <x:v>待实操；期望最终路由与最后一次有效操作一致，不串页</x:v>
      </x:c>
      <x:c r="N70" s="24" t="str">
        <x:v>300ms</x:v>
      </x:c>
      <x:c r="O70" s="24" t="str">
        <x:v>路由序列、取消请求、页签 ID</x:v>
      </x:c>
      <x:c r="P70" s="24" t="str">
        <x:v>返回、刷新或重新导航</x:v>
      </x:c>
      <x:c r="Q70" s="24" t="str">
        <x:v>待补 APP-005</x:v>
      </x:c>
      <x:c r="R70" s="24" t="str"/>
    </x:row>
    <x:row r="71" ht="68" customHeight="1">
      <x:c r="A71" s="25" t="str">
        <x:v>APP-006</x:v>
      </x:c>
      <x:c r="B71" s="25" t="str">
        <x:v>应用框架</x:v>
      </x:c>
      <x:c r="C71" s="25" t="str">
        <x:v>待实操</x:v>
      </x:c>
      <x:c r="D71" s="25" t="str">
        <x:v>P0</x:v>
      </x:c>
      <x:c r="E71" s="24" t="str">
        <x:v>登录用户</x:v>
      </x:c>
      <x:c r="F71" s="24" t="str">
        <x:v>当前客户端</x:v>
      </x:c>
      <x:c r="G71" s="24" t="str">
        <x:v>多标签/同设备</x:v>
      </x:c>
      <x:c r="H71" s="24" t="str">
        <x:v>token 过期或被撤销</x:v>
      </x:c>
      <x:c r="I71" s="24" t="str">
        <x:v>前后台并发请求 10 个</x:v>
      </x:c>
      <x:c r="J71" s="24" t="str">
        <x:v>首次 401 后停止新增请求，只弹一次登录提示</x:v>
      </x:c>
      <x:c r="K71" s="24" t="str">
        <x:v>登录状态已失效，请重新登录。</x:v>
      </x:c>
      <x:c r="L71" s="24" t="str">
        <x:v>登录失效弹窗</x:v>
      </x:c>
      <x:c r="M71" s="24" t="str">
        <x:v>待实操；期望清理敏感缓存并回登录页，不出现弹窗风暴</x:v>
      </x:c>
      <x:c r="N71" s="24" t="str">
        <x:v>同批请求只处理 1 次</x:v>
      </x:c>
      <x:c r="O71" s="24" t="str">
        <x:v>会话失效原因、撤销时间、版本</x:v>
      </x:c>
      <x:c r="P71" s="24" t="str">
        <x:v>重新登录并按规则恢复原路由</x:v>
      </x:c>
      <x:c r="Q71" s="24" t="str">
        <x:v>待补 APP-006</x:v>
      </x:c>
      <x:c r="R71" s="24" t="str"/>
    </x:row>
    <x:row r="72" ht="68" customHeight="1">
      <x:c r="A72" s="25" t="str">
        <x:v>APP-007</x:v>
      </x:c>
      <x:c r="B72" s="25" t="str">
        <x:v>应用框架</x:v>
      </x:c>
      <x:c r="C72" s="25" t="str">
        <x:v>待实操</x:v>
      </x:c>
      <x:c r="D72" s="25" t="str">
        <x:v>P1</x:v>
      </x:c>
      <x:c r="E72" s="24" t="str">
        <x:v>登录用户</x:v>
      </x:c>
      <x:c r="F72" s="24" t="str">
        <x:v>当前客户端</x:v>
      </x:c>
      <x:c r="G72" s="24" t="str">
        <x:v>当前设备/IP</x:v>
      </x:c>
      <x:c r="H72" s="24" t="str">
        <x:v>多种引导和活动同时满足</x:v>
      </x:c>
      <x:c r="I72" s="24" t="str">
        <x:v>新手引导、更新提示、活动弹窗同时触发；刷新 5 次</x:v>
      </x:c>
      <x:c r="J72" s="24" t="str">
        <x:v>单一弹窗队列；关闭可用；背景失焦</x:v>
      </x:c>
      <x:c r="K72" s="24" t="str">
        <x:v>请先完成或关闭当前提示。</x:v>
      </x:c>
      <x:c r="L72" s="24" t="str">
        <x:v>弹窗</x:v>
      </x:c>
      <x:c r="M72" s="24" t="str">
        <x:v>待实操；期望不重叠遮挡，跳过状态可持久化</x:v>
      </x:c>
      <x:c r="N72" s="24" t="str">
        <x:v>同类每会话 1 次</x:v>
      </x:c>
      <x:c r="O72" s="24" t="str">
        <x:v>弹窗优先级、展示/跳过版本</x:v>
      </x:c>
      <x:c r="P72" s="24" t="str">
        <x:v>关闭、跳过或稍后查看</x:v>
      </x:c>
      <x:c r="Q72" s="24" t="str">
        <x:v>待补 APP-007</x:v>
      </x:c>
      <x:c r="R72" s="24" t="str"/>
    </x:row>
    <x:row r="73" ht="68" customHeight="1">
      <x:c r="A73" s="25" t="str">
        <x:v>APP-008</x:v>
      </x:c>
      <x:c r="B73" s="25" t="str">
        <x:v>应用框架</x:v>
      </x:c>
      <x:c r="C73" s="25" t="str">
        <x:v>待实操</x:v>
      </x:c>
      <x:c r="D73" s="25" t="str">
        <x:v>P0</x:v>
      </x:c>
      <x:c r="E73" s="24" t="str">
        <x:v>登录用户</x:v>
      </x:c>
      <x:c r="F73" s="24" t="str">
        <x:v>当前客户端</x:v>
      </x:c>
      <x:c r="G73" s="24" t="str">
        <x:v>当前设备/IP</x:v>
      </x:c>
      <x:c r="H73" s="24" t="str">
        <x:v>发起反馈/诊断</x:v>
      </x:c>
      <x:c r="I73" s="24" t="str">
        <x:v>正常、超大日志、上传失败各 1 次</x:v>
      </x:c>
      <x:c r="J73" s="24" t="str">
        <x:v>提交前展示采集范围；上传中可取消</x:v>
      </x:c>
      <x:c r="K73" s="24" t="str">
        <x:v>日志上传失败，草稿已保留。
附件可能包含敏感信息，请确认脱敏后提交。</x:v>
      </x:c>
      <x:c r="L73" s="24" t="str">
        <x:v>风险确认 + Toast</x:v>
      </x:c>
      <x:c r="M73" s="24" t="str">
        <x:v>待实操；期望默认脱敏手机号、Cookie、凭证、路径和店铺数据</x:v>
      </x:c>
      <x:c r="N73" s="24" t="str">
        <x:v>失败重试 10s</x:v>
      </x:c>
      <x:c r="O73" s="24" t="str">
        <x:v>反馈编号、脱敏结果、文件大小、授权期限</x:v>
      </x:c>
      <x:c r="P73" s="24" t="str">
        <x:v>保留草稿、重传或手工导出</x:v>
      </x:c>
      <x:c r="Q73" s="24" t="str">
        <x:v>待补 APP-008</x:v>
      </x:c>
      <x:c r="R73" s="24" t="str"/>
    </x:row>
    <x:row r="74" ht="68" customHeight="1">
      <x:c r="A74" s="25" t="str">
        <x:v>APP-009</x:v>
      </x:c>
      <x:c r="B74" s="25" t="str">
        <x:v>应用框架</x:v>
      </x:c>
      <x:c r="C74" s="25" t="str">
        <x:v>待实操</x:v>
      </x:c>
      <x:c r="D74" s="25" t="str">
        <x:v>P1</x:v>
      </x:c>
      <x:c r="E74" s="24" t="str">
        <x:v>登录用户</x:v>
      </x:c>
      <x:c r="F74" s="24" t="str">
        <x:v>当前客户端</x:v>
      </x:c>
      <x:c r="G74" s="24" t="str">
        <x:v>当前设备/IP</x:v>
      </x:c>
      <x:c r="H74" s="24" t="str">
        <x:v>遇到 403/404/500/维护</x:v>
      </x:c>
      <x:c r="I74" s="24" t="str">
        <x:v>每类 3 次</x:v>
      </x:c>
      <x:c r="J74" s="24" t="str">
        <x:v>提供返回、重试、反馈；破坏性按钮禁用</x:v>
      </x:c>
      <x:c r="K74" s="24" t="str">
        <x:v>暂无访问权限。
页面不存在或已移动。
服务异常，请稍后重试。
系统维护中，预计于 YYYY-MM-DD HH:mm 恢复。</x:v>
      </x:c>
      <x:c r="L74" s="24" t="str">
        <x:v>错误页</x:v>
      </x:c>
      <x:c r="M74" s="24" t="str">
        <x:v>待实操；期望错误可区分，不展示空白页或原始堆栈</x:v>
      </x:c>
      <x:c r="N74" s="24" t="str">
        <x:v>500 错误 1/3/10s</x:v>
      </x:c>
      <x:c r="O74" s="24" t="str">
        <x:v>状态码、路由、团队、版本、追踪码</x:v>
      </x:c>
      <x:c r="P74" s="24" t="str">
        <x:v>返回安全页、重试或反馈</x:v>
      </x:c>
      <x:c r="Q74" s="24" t="str">
        <x:v>待补 APP-009</x:v>
      </x:c>
      <x:c r="R74" s="24" t="str"/>
    </x:row>
    <x:row r="75" ht="68" customHeight="1">
      <x:c r="A75" s="25" t="str">
        <x:v>STORE-001</x:v>
      </x:c>
      <x:c r="B75" s="25" t="str">
        <x:v>店铺环境</x:v>
      </x:c>
      <x:c r="C75" s="25" t="str">
        <x:v>待实操</x:v>
      </x:c>
      <x:c r="D75" s="25" t="str">
        <x:v>P1</x:v>
      </x:c>
      <x:c r="E75" s="24" t="str">
        <x:v>店铺管理员</x:v>
      </x:c>
      <x:c r="F75" s="24" t="str">
        <x:v>当前客户端</x:v>
      </x:c>
      <x:c r="G75" s="24" t="str">
        <x:v>当前设备/IP</x:v>
      </x:c>
      <x:c r="H75" s="24" t="str">
        <x:v>进入新增店铺</x:v>
      </x:c>
      <x:c r="I75" s="24" t="str">
        <x:v>空提交、重复名称各 3 次</x:v>
      </x:c>
      <x:c r="J75" s="24" t="str">
        <x:v>必填未完成时禁用；校验中 Loading</x:v>
      </x:c>
      <x:c r="K75" s="24" t="str">
        <x:v>请填写平台、站点和店铺名称。
当前团队已存在同名店铺，请核对后再提交。</x:v>
      </x:c>
      <x:c r="L75" s="24" t="str">
        <x:v>字段提示</x:v>
      </x:c>
      <x:c r="M75" s="24" t="str">
        <x:v>待实操；期望无效数据不落库，重复对象可跳转查看</x:v>
      </x:c>
      <x:c r="N75" s="24" t="str">
        <x:v>500ms</x:v>
      </x:c>
      <x:c r="O75" s="24" t="str">
        <x:v>字段校验、重复对象 ID</x:v>
      </x:c>
      <x:c r="P75" s="24" t="str">
        <x:v>修改字段后重试</x:v>
      </x:c>
      <x:c r="Q75" s="24" t="str">
        <x:v>待补 STORE-001</x:v>
      </x:c>
      <x:c r="R75" s="24" t="str"/>
    </x:row>
    <x:row r="76" ht="68" customHeight="1">
      <x:c r="A76" s="25" t="str">
        <x:v>STORE-002</x:v>
      </x:c>
      <x:c r="B76" s="25" t="str">
        <x:v>店铺环境</x:v>
      </x:c>
      <x:c r="C76" s="25" t="str">
        <x:v>待实操</x:v>
      </x:c>
      <x:c r="D76" s="25" t="str">
        <x:v>P1</x:v>
      </x:c>
      <x:c r="E76" s="24" t="str">
        <x:v>店铺管理员</x:v>
      </x:c>
      <x:c r="F76" s="24" t="str">
        <x:v>当前客户端</x:v>
      </x:c>
      <x:c r="G76" s="24" t="str">
        <x:v>当前设备/IP</x:v>
      </x:c>
      <x:c r="H76" s="24" t="str">
        <x:v>已下载批量模板</x:v>
      </x:c>
      <x:c r="I76" s="24" t="str">
        <x:v>301行、混合错误、同文件重复上传</x:v>
      </x:c>
      <x:c r="J76" s="24" t="str">
        <x:v>校验完成前禁用确认；提供错误明细</x:v>
      </x:c>
      <x:c r="K76" s="24" t="str">
        <x:v>共读取 301 行，超过单次 300 行上限。另有 12 行校验失败，请下载错误明细后重新导入。</x:v>
      </x:c>
      <x:c r="L76" s="24" t="str">
        <x:v>导入结果弹窗</x:v>
      </x:c>
      <x:c r="M76" s="24" t="str">
        <x:v>待实操；期望预览阶段不创建对象，提交使用幂等批次号</x:v>
      </x:c>
      <x:c r="N76" s="24" t="str">
        <x:v>同文件 30s 去重</x:v>
      </x:c>
      <x:c r="O76" s="24" t="str">
        <x:v>导入批次、成功/失败行、错误原因</x:v>
      </x:c>
      <x:c r="P76" s="24" t="str">
        <x:v>修正错误行或拆分文件</x:v>
      </x:c>
      <x:c r="Q76" s="24" t="str">
        <x:v>待补 STORE-002</x:v>
      </x:c>
      <x:c r="R76" s="24" t="str"/>
    </x:row>
    <x:row r="77" ht="68" customHeight="1">
      <x:c r="A77" s="25" t="str">
        <x:v>STORE-003</x:v>
      </x:c>
      <x:c r="B77" s="25" t="str">
        <x:v>店铺环境</x:v>
      </x:c>
      <x:c r="C77" s="25" t="str">
        <x:v>待实操</x:v>
      </x:c>
      <x:c r="D77" s="25" t="str">
        <x:v>P1</x:v>
      </x:c>
      <x:c r="E77" s="24" t="str">
        <x:v>店铺管理员</x:v>
      </x:c>
      <x:c r="F77" s="24" t="str">
        <x:v>当前客户端</x:v>
      </x:c>
      <x:c r="G77" s="24" t="str">
        <x:v>当前设备/IP</x:v>
      </x:c>
      <x:c r="H77" s="24" t="str">
        <x:v>店铺资料合法但无设备</x:v>
      </x:c>
      <x:c r="I77" s="24" t="str">
        <x:v>保存 1 次、访问 3 次</x:v>
      </x:c>
      <x:c r="J77" s="24" t="str">
        <x:v>允许保存；访问按钮禁用并显示待绑定</x:v>
      </x:c>
      <x:c r="K77" s="24" t="str">
        <x:v>店铺已保存，但尚未绑定有效设备。绑定设备后才能访问店铺。</x:v>
      </x:c>
      <x:c r="L77" s="24" t="str">
        <x:v>页面状态</x:v>
      </x:c>
      <x:c r="M77" s="24" t="str">
        <x:v>待实操；期望进入待绑定状态，不伪装为可访问</x:v>
      </x:c>
      <x:c r="N77" s="24" t="str">
        <x:v>无</x:v>
      </x:c>
      <x:c r="O77" s="24" t="str">
        <x:v>创建、待绑定状态</x:v>
      </x:c>
      <x:c r="P77" s="24" t="str">
        <x:v>绑定有效设备后恢复</x:v>
      </x:c>
      <x:c r="Q77" s="24" t="str">
        <x:v>待补 STORE-003</x:v>
      </x:c>
      <x:c r="R77" s="24" t="str"/>
    </x:row>
    <x:row r="78" ht="68" customHeight="1">
      <x:c r="A78" s="25" t="str">
        <x:v>STORE-004</x:v>
      </x:c>
      <x:c r="B78" s="25" t="str">
        <x:v>店铺环境</x:v>
      </x:c>
      <x:c r="C78" s="25" t="str">
        <x:v>待实操</x:v>
      </x:c>
      <x:c r="D78" s="25" t="str">
        <x:v>P0</x:v>
      </x:c>
      <x:c r="E78" s="24" t="str">
        <x:v>店铺管理员</x:v>
      </x:c>
      <x:c r="F78" s="24" t="str">
        <x:v>当前客户端</x:v>
      </x:c>
      <x:c r="G78" s="24" t="str">
        <x:v>过期/检测失败/更换中的平台或自有设备</x:v>
      </x:c>
      <x:c r="H78" s="24" t="str">
        <x:v>选择不可用设备</x:v>
      </x:c>
      <x:c r="I78" s="24" t="str">
        <x:v>每种状态 3 次</x:v>
      </x:c>
      <x:c r="J78" s="24" t="str">
        <x:v>不可用设备不可选；确认绑定禁用</x:v>
      </x:c>
      <x:c r="K78" s="24" t="str">
        <x:v>所选设备当前不可用，请选择状态为“正常”的设备。</x:v>
      </x:c>
      <x:c r="L78" s="24" t="str">
        <x:v>行内提示/弹窗</x:v>
      </x:c>
      <x:c r="M78" s="24" t="str">
        <x:v>待实操；期望不建立无效绑定关系</x:v>
      </x:c>
      <x:c r="N78" s="24" t="str">
        <x:v>状态刷新 5s</x:v>
      </x:c>
      <x:c r="O78" s="24" t="str">
        <x:v>设备状态、绑定拒绝原因</x:v>
      </x:c>
      <x:c r="P78" s="24" t="str">
        <x:v>更换设备或等待恢复</x:v>
      </x:c>
      <x:c r="Q78" s="24" t="str">
        <x:v>待补 STORE-004</x:v>
      </x:c>
      <x:c r="R78" s="24" t="str"/>
    </x:row>
    <x:row r="79" ht="68" customHeight="1">
      <x:c r="A79" s="25" t="str">
        <x:v>STORE-005</x:v>
      </x:c>
      <x:c r="B79" s="25" t="str">
        <x:v>店铺环境</x:v>
      </x:c>
      <x:c r="C79" s="25" t="str">
        <x:v>待实操</x:v>
      </x:c>
      <x:c r="D79" s="25" t="str">
        <x:v>P0</x:v>
      </x:c>
      <x:c r="E79" s="24" t="str">
        <x:v>店铺管理员</x:v>
      </x:c>
      <x:c r="F79" s="24" t="str">
        <x:v>当前客户端</x:v>
      </x:c>
      <x:c r="G79" s="24" t="str">
        <x:v>有效平台设备/IP</x:v>
      </x:c>
      <x:c r="H79" s="24" t="str">
        <x:v>设备已绑定同平台其他店铺</x:v>
      </x:c>
      <x:c r="I79" s="24" t="str">
        <x:v>连续绑定 3 家店铺</x:v>
      </x:c>
      <x:c r="J79" s="24" t="str">
        <x:v>高风险确认前禁用继续</x:v>
      </x:c>
      <x:c r="K79" s="24" t="str">
        <x:v>该设备已绑定同平台店铺。继续绑定可能增加账号关联风险，请输入当前店铺名称确认。</x:v>
      </x:c>
      <x:c r="L79" s="24" t="str">
        <x:v>高风险确认弹窗</x:v>
      </x:c>
      <x:c r="M79" s="24" t="str">
        <x:v>待实操；期望明确确认后建立关系，不宣称必然关联</x:v>
      </x:c>
      <x:c r="N79" s="24" t="str">
        <x:v>确认后 5s</x:v>
      </x:c>
      <x:c r="O79" s="24" t="str">
        <x:v>高风险绑定审计、受影响店铺；通知负责人</x:v>
      </x:c>
      <x:c r="P79" s="24" t="str">
        <x:v>取消或改绑独立设备</x:v>
      </x:c>
      <x:c r="Q79" s="24" t="str">
        <x:v>待补 STORE-005</x:v>
      </x:c>
      <x:c r="R79" s="24" t="str"/>
    </x:row>
    <x:row r="80" ht="68" customHeight="1">
      <x:c r="A80" s="25" t="str">
        <x:v>STORE-006</x:v>
      </x:c>
      <x:c r="B80" s="25" t="str">
        <x:v>店铺环境</x:v>
      </x:c>
      <x:c r="C80" s="25" t="str">
        <x:v>待实操</x:v>
      </x:c>
      <x:c r="D80" s="25" t="str">
        <x:v>P1</x:v>
      </x:c>
      <x:c r="E80" s="24" t="str">
        <x:v>获授权成员</x:v>
      </x:c>
      <x:c r="F80" s="24" t="str">
        <x:v>当前客户端</x:v>
      </x:c>
      <x:c r="G80" s="24" t="str">
        <x:v>有效设备/IP</x:v>
      </x:c>
      <x:c r="H80" s="24" t="str">
        <x:v>店铺、设备、权限均有效</x:v>
      </x:c>
      <x:c r="I80" s="24" t="str">
        <x:v>连击访问 10 次、2 终端并发</x:v>
      </x:c>
      <x:c r="J80" s="24" t="str">
        <x:v>首次后显示启动中，重复点击禁用</x:v>
      </x:c>
      <x:c r="K80" s="24" t="str">
        <x:v>店铺正在启动，请勿重复操作。超过 60 秒仍未打开，可取消并诊断。</x:v>
      </x:c>
      <x:c r="L80" s="24" t="str">
        <x:v>启动状态/Toast</x:v>
      </x:c>
      <x:c r="M80" s="24" t="str">
        <x:v>待实操；期望只创建一个启动实例</x:v>
      </x:c>
      <x:c r="N80" s="24" t="str">
        <x:v>启动完成前锁定</x:v>
      </x:c>
      <x:c r="O80" s="24" t="str">
        <x:v>启动 ID、终端、设备、耗时、失败码</x:v>
      </x:c>
      <x:c r="P80" s="24" t="str">
        <x:v>取消、重试或诊断</x:v>
      </x:c>
      <x:c r="Q80" s="24" t="str">
        <x:v>待补 STORE-006</x:v>
      </x:c>
      <x:c r="R80" s="24" t="str"/>
    </x:row>
    <x:row r="81" ht="68" customHeight="1">
      <x:c r="A81" s="25" t="str">
        <x:v>STORE-007</x:v>
      </x:c>
      <x:c r="B81" s="25" t="str">
        <x:v>店铺环境</x:v>
      </x:c>
      <x:c r="C81" s="25" t="str">
        <x:v>待实操</x:v>
      </x:c>
      <x:c r="D81" s="25" t="str">
        <x:v>P1</x:v>
      </x:c>
      <x:c r="E81" s="24" t="str">
        <x:v>获授权成员</x:v>
      </x:c>
      <x:c r="F81" s="24" t="str">
        <x:v>当前客户端</x:v>
      </x:c>
      <x:c r="G81" s="24" t="str">
        <x:v>多个有效/异常设备 IP</x:v>
      </x:c>
      <x:c r="H81" s="24" t="str">
        <x:v>选择 10 个状态混合店铺</x:v>
      </x:c>
      <x:c r="I81" s="24" t="str">
        <x:v>批量打开 1 次；并发 10</x:v>
      </x:c>
      <x:c r="J81" s="24" t="str">
        <x:v>执行中禁用重复提交；显示逐项进度</x:v>
      </x:c>
      <x:c r="K81" s="24" t="str">
        <x:v>已成功启动 6 家；2 家设备不可用；1 家无权限；1 家并发已满。</x:v>
      </x:c>
      <x:c r="L81" s="24" t="str">
        <x:v>批量结果弹窗</x:v>
      </x:c>
      <x:c r="M81" s="24" t="str">
        <x:v>待实操；期望逐项执行汇总，单店失败不整体回滚</x:v>
      </x:c>
      <x:c r="N81" s="24" t="str">
        <x:v>同批次 30s 幂等</x:v>
      </x:c>
      <x:c r="O81" s="24" t="str">
        <x:v>批次 ID 及每店结果</x:v>
      </x:c>
      <x:c r="P81" s="24" t="str">
        <x:v>对失败项单独重试</x:v>
      </x:c>
      <x:c r="Q81" s="24" t="str">
        <x:v>待补 STORE-007</x:v>
      </x:c>
      <x:c r="R81" s="24" t="str"/>
    </x:row>
    <x:row r="82" ht="68" customHeight="1">
      <x:c r="A82" s="25" t="str">
        <x:v>STORE-008</x:v>
      </x:c>
      <x:c r="B82" s="25" t="str">
        <x:v>店铺环境</x:v>
      </x:c>
      <x:c r="C82" s="25" t="str">
        <x:v>待实操</x:v>
      </x:c>
      <x:c r="D82" s="25" t="str">
        <x:v>P0</x:v>
      </x:c>
      <x:c r="E82" s="24" t="str">
        <x:v>多成员</x:v>
      </x:c>
      <x:c r="F82" s="24" t="str">
        <x:v>当前客户端</x:v>
      </x:c>
      <x:c r="G82" s="24" t="str">
        <x:v>同店铺设备/IP</x:v>
      </x:c>
      <x:c r="H82" s="24" t="str">
        <x:v>店铺共用人数设为 1 或 N</x:v>
      </x:c>
      <x:c r="I82" s="24" t="str">
        <x:v>N+1 终端同时访问</x:v>
      </x:c>
      <x:c r="J82" s="24" t="str">
        <x:v>超额端进入排队或按钮禁用</x:v>
      </x:c>
      <x:c r="K82" s="24" t="str">
        <x:v>当前店铺已达到 {n} 人并发上限，请稍后重试或联系管理员调整。</x:v>
      </x:c>
      <x:c r="L82" s="24" t="str">
        <x:v>阻断弹窗</x:v>
      </x:c>
      <x:c r="M82" s="24" t="str">
        <x:v>待实操；期望服务端原子占用名额，不超卖且不无提示踢人</x:v>
      </x:c>
      <x:c r="N82" s="24" t="str">
        <x:v>失败后 10s</x:v>
      </x:c>
      <x:c r="O82" s="24" t="str">
        <x:v>会话占用、释放、超限；可通知管理员</x:v>
      </x:c>
      <x:c r="P82" s="24" t="str">
        <x:v>等待释放、扩容或结束异常会话</x:v>
      </x:c>
      <x:c r="Q82" s="24" t="str">
        <x:v>待补 STORE-008</x:v>
      </x:c>
      <x:c r="R82" s="24" t="str"/>
    </x:row>
    <x:row r="83" ht="68" customHeight="1">
      <x:c r="A83" s="25" t="str">
        <x:v>STORE-009</x:v>
      </x:c>
      <x:c r="B83" s="25" t="str">
        <x:v>店铺环境</x:v>
      </x:c>
      <x:c r="C83" s="25" t="str">
        <x:v>待实操</x:v>
      </x:c>
      <x:c r="D83" s="25" t="str">
        <x:v>P0</x:v>
      </x:c>
      <x:c r="E83" s="24" t="str">
        <x:v>环境管理员</x:v>
      </x:c>
      <x:c r="F83" s="24" t="str">
        <x:v>当前客户端</x:v>
      </x:c>
      <x:c r="G83" s="24" t="str">
        <x:v>店铺运行中的设备/IP</x:v>
      </x:c>
      <x:c r="H83" s="24" t="str">
        <x:v>店铺窗口正在运行</x:v>
      </x:c>
      <x:c r="I83" s="24" t="str">
        <x:v>修改内核、UA、系统标识各 2 次</x:v>
      </x:c>
      <x:c r="J83" s="24" t="str">
        <x:v>保存前展示影响确认</x:v>
      </x:c>
      <x:c r="K83" s="24" t="str">
        <x:v>修改内核或 User-Agent 将关闭当前店铺窗口，并可能影响登录态。是否保存并重新启动？</x:v>
      </x:c>
      <x:c r="L83" s="24" t="str">
        <x:v>高风险确认弹窗</x:v>
      </x:c>
      <x:c r="M83" s="24" t="str">
        <x:v>待实操；期望配置版本化，失败回滚旧环境</x:v>
      </x:c>
      <x:c r="N83" s="24" t="str">
        <x:v>保存后 60s 内禁止再次修改</x:v>
      </x:c>
      <x:c r="O83" s="24" t="str">
        <x:v>修改前后值、操作者、重启结果</x:v>
      </x:c>
      <x:c r="P83" s="24" t="str">
        <x:v>取消或回滚上一版本</x:v>
      </x:c>
      <x:c r="Q83" s="24" t="str">
        <x:v>待补 STORE-009</x:v>
      </x:c>
      <x:c r="R83" s="24" t="str"/>
    </x:row>
    <x:row r="84" ht="68" customHeight="1">
      <x:c r="A84" s="25" t="str">
        <x:v>STORE-010</x:v>
      </x:c>
      <x:c r="B84" s="25" t="str">
        <x:v>店铺环境</x:v>
      </x:c>
      <x:c r="C84" s="25" t="str">
        <x:v>待实操</x:v>
      </x:c>
      <x:c r="D84" s="25" t="str">
        <x:v>P0</x:v>
      </x:c>
      <x:c r="E84" s="24" t="str">
        <x:v>店铺管理员</x:v>
      </x:c>
      <x:c r="F84" s="24" t="str">
        <x:v>当前客户端</x:v>
      </x:c>
      <x:c r="G84" s="24" t="str">
        <x:v>店铺设备/IP</x:v>
      </x:c>
      <x:c r="H84" s="24" t="str">
        <x:v>存在本地/云端缓存和 Cookie</x:v>
      </x:c>
      <x:c r="I84" s="24" t="str">
        <x:v>三种清理范围各 1 次</x:v>
      </x:c>
      <x:c r="J84" s="24" t="str">
        <x:v>选择范围后启用确认；全量清理需输入店铺名</x:v>
      </x:c>
      <x:c r="K84" s="24" t="str">
        <x:v>将清除本地缓存、云端缓存及 Cookie，店铺可能退出登录。不会删除设备、托管凭证或成员授权。此操作不可撤销。</x:v>
      </x:c>
      <x:c r="L84" s="24" t="str">
        <x:v>高风险确认弹窗</x:v>
      </x:c>
      <x:c r="M84" s="24" t="str">
        <x:v>待实操；期望严格按所选范围清理，不发生范围外级联</x:v>
      </x:c>
      <x:c r="N84" s="24" t="str">
        <x:v>同店铺 10分钟</x:v>
      </x:c>
      <x:c r="O84" s="24" t="str">
        <x:v>清理范围、数据量、结果；通知负责人</x:v>
      </x:c>
      <x:c r="P84" s="24" t="str">
        <x:v>缓存可重建，Cookie 需重新登录/导入</x:v>
      </x:c>
      <x:c r="Q84" s="24" t="str">
        <x:v>待补 STORE-010</x:v>
      </x:c>
      <x:c r="R84" s="24" t="str"/>
    </x:row>
    <x:row r="85" ht="68" customHeight="1">
      <x:c r="A85" s="25" t="str">
        <x:v>STORE-011</x:v>
      </x:c>
      <x:c r="B85" s="25" t="str">
        <x:v>店铺环境</x:v>
      </x:c>
      <x:c r="C85" s="25" t="str">
        <x:v>待实操</x:v>
      </x:c>
      <x:c r="D85" s="25" t="str">
        <x:v>P0</x:v>
      </x:c>
      <x:c r="E85" s="24" t="str">
        <x:v>凭证管理员</x:v>
      </x:c>
      <x:c r="F85" s="24" t="str">
        <x:v>当前客户端</x:v>
      </x:c>
      <x:c r="G85" s="24" t="str">
        <x:v>店铺设备/IP</x:v>
      </x:c>
      <x:c r="H85" s="24" t="str">
        <x:v>准备导入 Cookie JSON</x:v>
      </x:c>
      <x:c r="I85" s="24" t="str">
        <x:v>格式错、过期、跨域、重复键各 2 次</x:v>
      </x:c>
      <x:c r="J85" s="24" t="str">
        <x:v>校验通过前确认禁用</x:v>
      </x:c>
      <x:c r="K85" s="24" t="str">
        <x:v>Cookie 属于登录凭证。检测到域名不匹配、已过期或重复键，共 {n} 项异常，未写入店铺环境。</x:v>
      </x:c>
      <x:c r="L85" s="24" t="str">
        <x:v>导入结果弹窗</x:v>
      </x:c>
      <x:c r="M85" s="24" t="str">
        <x:v>待实操；期望事务式导入，失败不覆盖原 Cookie</x:v>
      </x:c>
      <x:c r="N85" s="24" t="str">
        <x:v>失败后 3s</x:v>
      </x:c>
      <x:c r="O85" s="24" t="str">
        <x:v>只记域名、数量、哈希和结果，不记 Cookie 值</x:v>
      </x:c>
      <x:c r="P85" s="24" t="str">
        <x:v>修正文件；成功后可按快照回滚</x:v>
      </x:c>
      <x:c r="Q85" s="24" t="str">
        <x:v>待补 STORE-011</x:v>
      </x:c>
      <x:c r="R85" s="24" t="str"/>
    </x:row>
    <x:row r="86" ht="68" customHeight="1">
      <x:c r="A86" s="25" t="str">
        <x:v>STORE-012</x:v>
      </x:c>
      <x:c r="B86" s="25" t="str">
        <x:v>店铺环境</x:v>
      </x:c>
      <x:c r="C86" s="25" t="str">
        <x:v>待实操</x:v>
      </x:c>
      <x:c r="D86" s="25" t="str">
        <x:v>P0</x:v>
      </x:c>
      <x:c r="E86" s="24" t="str">
        <x:v>普通成员/凭证管理员</x:v>
      </x:c>
      <x:c r="F86" s="24" t="str">
        <x:v>当前客户端</x:v>
      </x:c>
      <x:c r="G86" s="24" t="str">
        <x:v>店铺设备/IP</x:v>
      </x:c>
      <x:c r="H86" s="24" t="str">
        <x:v>托管密码或 OTP 存在</x:v>
      </x:c>
      <x:c r="I86" s="24" t="str">
        <x:v>无权访问 3 次；错误 OTP 密钥 5 次</x:v>
      </x:c>
      <x:c r="J86" s="24" t="str">
        <x:v>无权入口隐藏；错误后恢复，达阈值锁定</x:v>
      </x:c>
      <x:c r="K86" s="24" t="str">
        <x:v>你没有查看或使用该凭证的权限。
动态验证码连续生成失败，请管理员检查密钥和设备时间。</x:v>
      </x:c>
      <x:c r="L86" s="24" t="str">
        <x:v>权限/错误弹窗</x:v>
      </x:c>
      <x:c r="M86" s="24" t="str">
        <x:v>待实操；期望明文不返回前端，授权和使用分别校验</x:v>
      </x:c>
      <x:c r="N86" s="24" t="str">
        <x:v>失败 5 次锁 10分钟</x:v>
      </x:c>
      <x:c r="O86" s="24" t="str">
        <x:v>凭证访问、代填、授权变更；异常通知管理员</x:v>
      </x:c>
      <x:c r="P86" s="24" t="str">
        <x:v>重新授权、校时或更换密钥</x:v>
      </x:c>
      <x:c r="Q86" s="24" t="str">
        <x:v>待补 STORE-012</x:v>
      </x:c>
      <x:c r="R86" s="24" t="str"/>
    </x:row>
    <x:row r="87" ht="68" customHeight="1">
      <x:c r="A87" s="25" t="str">
        <x:v>STORE-013</x:v>
      </x:c>
      <x:c r="B87" s="25" t="str">
        <x:v>店铺环境</x:v>
      </x:c>
      <x:c r="C87" s="25" t="str">
        <x:v>待实操</x:v>
      </x:c>
      <x:c r="D87" s="25" t="str">
        <x:v>P0</x:v>
      </x:c>
      <x:c r="E87" s="24" t="str">
        <x:v>凭证管理员</x:v>
      </x:c>
      <x:c r="F87" s="24" t="str">
        <x:v>当前客户端 2.1.0+</x:v>
      </x:c>
      <x:c r="G87" s="24" t="str">
        <x:v>店铺设备/IP</x:v>
      </x:c>
      <x:c r="H87" s="24" t="str">
        <x:v>店铺已绑定 Passkey</x:v>
      </x:c>
      <x:c r="I87" s="24" t="str">
        <x:v>解绑 1 次、重复提交 3 次</x:v>
      </x:c>
      <x:c r="J87" s="24" t="str">
        <x:v>二次确认；提交中禁用</x:v>
      </x:c>
      <x:c r="K87" s="24" t="str">
        <x:v>仅解除本店铺与 Passkey 的关联，不会删除第三方平台中的 Passkey，也不会删除密钥对象。确认解绑？</x:v>
      </x:c>
      <x:c r="L87" s="24" t="str">
        <x:v>高风险确认弹窗</x:v>
      </x:c>
      <x:c r="M87" s="24" t="str">
        <x:v>待实操；期望解除关系幂等，不误删外部凭证</x:v>
      </x:c>
      <x:c r="N87" s="24" t="str">
        <x:v>30s</x:v>
      </x:c>
      <x:c r="O87" s="24" t="str">
        <x:v>店铺、密钥 ID、操作者；通知负责人</x:v>
      </x:c>
      <x:c r="P87" s="24" t="str">
        <x:v>可重新绑定</x:v>
      </x:c>
      <x:c r="Q87" s="24" t="str">
        <x:v>待补 STORE-013</x:v>
      </x:c>
      <x:c r="R87" s="24" t="str"/>
    </x:row>
    <x:row r="88" ht="68" customHeight="1">
      <x:c r="A88" s="25" t="str">
        <x:v>STORE-014</x:v>
      </x:c>
      <x:c r="B88" s="25" t="str">
        <x:v>店铺环境</x:v>
      </x:c>
      <x:c r="C88" s="25" t="str">
        <x:v>待实操</x:v>
      </x:c>
      <x:c r="D88" s="25" t="str">
        <x:v>P0</x:v>
      </x:c>
      <x:c r="E88" s="24" t="str">
        <x:v>店铺所有者</x:v>
      </x:c>
      <x:c r="F88" s="24" t="str">
        <x:v>当前客户端</x:v>
      </x:c>
      <x:c r="G88" s="24" t="str">
        <x:v>店铺设备/IP</x:v>
      </x:c>
      <x:c r="H88" s="24" t="str">
        <x:v>店铺有授权、缓存、凭证或运行会话</x:v>
      </x:c>
      <x:c r="I88" s="24" t="str">
        <x:v>删除 1 次、并发访问 1 次</x:v>
      </x:c>
      <x:c r="J88" s="24" t="str">
        <x:v>运行中先禁用删除；确认需输入店铺名</x:v>
      </x:c>
      <x:c r="K88" s="24" t="str">
        <x:v>删除后将终止店铺会话并撤销成员访问。设备、凭证、录像和日志将按各自保留规则处理。请输入店铺名称确认删除。</x:v>
      </x:c>
      <x:c r="L88" s="24" t="str">
        <x:v>高风险确认弹窗</x:v>
      </x:c>
      <x:c r="M88" s="24" t="str">
        <x:v>待实操；期望先关闭会话、展示级联影响并软删除</x:v>
      </x:c>
      <x:c r="N88" s="24" t="str">
        <x:v>删除后 24小时内禁止同标识新建</x:v>
      </x:c>
      <x:c r="O88" s="24" t="str">
        <x:v>删除审计；通知所有者和管理员</x:v>
      </x:c>
      <x:c r="P88" s="24" t="str">
        <x:v>建议 7 日回收站；超期只能重建</x:v>
      </x:c>
      <x:c r="Q88" s="24" t="str">
        <x:v>待补 STORE-014</x:v>
      </x:c>
      <x:c r="R88" s="24" t="str"/>
    </x:row>
    <x:row r="89" ht="68" customHeight="1">
      <x:c r="A89" s="25" t="str">
        <x:v>STORE-015</x:v>
      </x:c>
      <x:c r="B89" s="25" t="str">
        <x:v>店铺环境</x:v>
      </x:c>
      <x:c r="C89" s="25" t="str">
        <x:v>待实操</x:v>
      </x:c>
      <x:c r="D89" s="25" t="str">
        <x:v>P0</x:v>
      </x:c>
      <x:c r="E89" s="24" t="str">
        <x:v>管理员</x:v>
      </x:c>
      <x:c r="F89" s="24" t="str">
        <x:v>当前客户端</x:v>
      </x:c>
      <x:c r="G89" s="24" t="str">
        <x:v>店铺设备/IP</x:v>
      </x:c>
      <x:c r="H89" s="24" t="str">
        <x:v>源/目标成员有效</x:v>
      </x:c>
      <x:c r="I89" s="24" t="str">
        <x:v>转让 1 次、双方并发编辑</x:v>
      </x:c>
      <x:c r="J89" s="24" t="str">
        <x:v>转让中冻结编辑、删除和凭证变更</x:v>
      </x:c>
      <x:c r="K89" s="24" t="str">
        <x:v>店铺将转让给“{成员}”。设备归属、账单主体和凭证管理员不会自动变更，是否继续？</x:v>
      </x:c>
      <x:c r="L89" s="24" t="str">
        <x:v>高风险确认弹窗</x:v>
      </x:c>
      <x:c r="M89" s="24" t="str">
        <x:v>待实操；期望店铺归属原子切换，关联资产逐项确认</x:v>
      </x:c>
      <x:c r="N89" s="24" t="str">
        <x:v>60s</x:v>
      </x:c>
      <x:c r="O89" s="24" t="str">
        <x:v>转让前后所有者、关联资产；双方通知</x:v>
      </x:c>
      <x:c r="P89" s="24" t="str">
        <x:v>失败自动回滚；上级管理员可反向转让</x:v>
      </x:c>
      <x:c r="Q89" s="24" t="str">
        <x:v>待补 STORE-015</x:v>
      </x:c>
      <x:c r="R89" s="24" t="str"/>
    </x:row>
    <x:row r="90" ht="68" customHeight="1">
      <x:c r="A90" s="25" t="str">
        <x:v>DEV-001</x:v>
      </x:c>
      <x:c r="B90" s="25" t="str">
        <x:v>设备与IP</x:v>
      </x:c>
      <x:c r="C90" s="25" t="str">
        <x:v>待实操</x:v>
      </x:c>
      <x:c r="D90" s="25" t="str">
        <x:v>P0</x:v>
      </x:c>
      <x:c r="E90" s="24" t="str">
        <x:v>设备购买者</x:v>
      </x:c>
      <x:c r="F90" s="24" t="str">
        <x:v>当前客户端购买页</x:v>
      </x:c>
      <x:c r="G90" s="24" t="str">
        <x:v>当前终端/IP</x:v>
      </x:c>
      <x:c r="H90" s="24" t="str">
        <x:v>已选地区、SKU 和时长</x:v>
      </x:c>
      <x:c r="I90" s="24" t="str">
        <x:v>结算停留 10 分钟后提交</x:v>
      </x:c>
      <x:c r="J90" s="24" t="str">
        <x:v>价格变化时支付禁用并要求重确认</x:v>
      </x:c>
      <x:c r="K90" s="24" t="str">
        <x:v>商品价格已由 ¥499 调整为 ¥529，优惠和库存也可能变化。请确认最新订单金额。</x:v>
      </x:c>
      <x:c r="L90" s="24" t="str">
        <x:v>价格变更弹窗</x:v>
      </x:c>
      <x:c r="M90" s="24" t="str">
        <x:v>待实操；期望结算使用服务端价格快照，不静默改价</x:v>
      </x:c>
      <x:c r="N90" s="24" t="str">
        <x:v>价格刷新 30s</x:v>
      </x:c>
      <x:c r="O90" s="24" t="str">
        <x:v>SKU、旧/新价格、快照版本</x:v>
      </x:c>
      <x:c r="P90" s="24" t="str">
        <x:v>接受新价格或返回选购</x:v>
      </x:c>
      <x:c r="Q90" s="24" t="str">
        <x:v>待补 DEV-001</x:v>
      </x:c>
      <x:c r="R90" s="24" t="str"/>
    </x:row>
    <x:row r="91" ht="68" customHeight="1">
      <x:c r="A91" s="25" t="str">
        <x:v>DEV-002</x:v>
      </x:c>
      <x:c r="B91" s="25" t="str">
        <x:v>设备与IP</x:v>
      </x:c>
      <x:c r="C91" s="25" t="str">
        <x:v>待实操</x:v>
      </x:c>
      <x:c r="D91" s="25" t="str">
        <x:v>P1</x:v>
      </x:c>
      <x:c r="E91" s="24" t="str">
        <x:v>多购买者</x:v>
      </x:c>
      <x:c r="F91" s="24" t="str">
        <x:v>当前客户端购买页</x:v>
      </x:c>
      <x:c r="G91" s="24" t="str">
        <x:v>多设备/同或不同 IP</x:v>
      </x:c>
      <x:c r="H91" s="24" t="str">
        <x:v>SKU 仅剩 1 台</x:v>
      </x:c>
      <x:c r="I91" s="24" t="str">
        <x:v>5 人同时购买</x:v>
      </x:c>
      <x:c r="J91" s="24" t="str">
        <x:v>库存锁定中 Loading</x:v>
      </x:c>
      <x:c r="K91" s="24" t="str">
        <x:v>库存不足，本次未创建订单，也未发生扣款。</x:v>
      </x:c>
      <x:c r="L91" s="24" t="str">
        <x:v>阻断弹窗</x:v>
      </x:c>
      <x:c r="M91" s="24" t="str">
        <x:v>待实操；期望创建订单时原子锁库存，不超卖</x:v>
      </x:c>
      <x:c r="N91" s="24" t="str">
        <x:v>库存锁建议 15分钟</x:v>
      </x:c>
      <x:c r="O91" s="24" t="str">
        <x:v>库存锁、释放、订单 ID</x:v>
      </x:c>
      <x:c r="P91" s="24" t="str">
        <x:v>预约补货或选替代 SKU</x:v>
      </x:c>
      <x:c r="Q91" s="24" t="str">
        <x:v>待补 DEV-002</x:v>
      </x:c>
      <x:c r="R91" s="24" t="str"/>
    </x:row>
    <x:row r="92" ht="68" customHeight="1">
      <x:c r="A92" s="25" t="str">
        <x:v>DEV-003</x:v>
      </x:c>
      <x:c r="B92" s="25" t="str">
        <x:v>设备与IP</x:v>
      </x:c>
      <x:c r="C92" s="25" t="str">
        <x:v>待实操</x:v>
      </x:c>
      <x:c r="D92" s="25" t="str">
        <x:v>P1</x:v>
      </x:c>
      <x:c r="E92" s="24" t="str">
        <x:v>设备购买者</x:v>
      </x:c>
      <x:c r="F92" s="24" t="str">
        <x:v>当前客户端购买页</x:v>
      </x:c>
      <x:c r="G92" s="24" t="str">
        <x:v>当前终端/IP</x:v>
      </x:c>
      <x:c r="H92" s="24" t="str">
        <x:v>SKU 有库存和数量上限</x:v>
      </x:c>
      <x:c r="I92" s="24" t="str">
        <x:v>连加 100 次、双击减号</x:v>
      </x:c>
      <x:c r="J92" s="24" t="str">
        <x:v>达上下限后步进按钮禁用</x:v>
      </x:c>
      <x:c r="K92" s="24" t="str">
        <x:v>单次最多购买 {上限} 台，当前可售库存为 {库存} 台。</x:v>
      </x:c>
      <x:c r="L92" s="24" t="str">
        <x:v>行内提示</x:v>
      </x:c>
      <x:c r="M92" s="24" t="str">
        <x:v>待实操；期望前后端校验，数量不能为 0 或负数</x:v>
      </x:c>
      <x:c r="N92" s="24" t="str">
        <x:v>300ms</x:v>
      </x:c>
      <x:c r="O92" s="24" t="str">
        <x:v>数量变更和上限命中</x:v>
      </x:c>
      <x:c r="P92" s="24" t="str">
        <x:v>调整数量</x:v>
      </x:c>
      <x:c r="Q92" s="24" t="str">
        <x:v>待补 DEV-003</x:v>
      </x:c>
      <x:c r="R92" s="24" t="str"/>
    </x:row>
    <x:row r="93" ht="68" customHeight="1">
      <x:c r="A93" s="25" t="str">
        <x:v>DEV-004</x:v>
      </x:c>
      <x:c r="B93" s="25" t="str">
        <x:v>设备与IP</x:v>
      </x:c>
      <x:c r="C93" s="25" t="str">
        <x:v>待实操</x:v>
      </x:c>
      <x:c r="D93" s="25" t="str">
        <x:v>P0</x:v>
      </x:c>
      <x:c r="E93" s="24" t="str">
        <x:v>设备购买者</x:v>
      </x:c>
      <x:c r="F93" s="24" t="str">
        <x:v>当前客户端购买页</x:v>
      </x:c>
      <x:c r="G93" s="24" t="str">
        <x:v>当前终端/IP</x:v>
      </x:c>
      <x:c r="H93" s="24" t="str">
        <x:v>已选时长折扣和优惠券</x:v>
      </x:c>
      <x:c r="I93" s="24" t="str">
        <x:v>多券切换 10 次</x:v>
      </x:c>
      <x:c r="J93" s="24" t="str">
        <x:v>计算中禁用支付；逐项展示金额</x:v>
      </x:c>
      <x:c r="K93" s="24" t="str">
        <x:v>订单金额：基价 ¥828，时长优惠 -¥329，优惠券 -¥50，应付 ¥449。折扣标签仅作展示，以应付金额为准。</x:v>
      </x:c>
      <x:c r="L93" s="24" t="str">
        <x:v>订单金额区</x:v>
      </x:c>
      <x:c r="M93" s="24" t="str">
        <x:v>待实操；期望以分为单位计算，标签近似不影响成交价</x:v>
      </x:c>
      <x:c r="N93" s="24" t="str">
        <x:v>500ms</x:v>
      </x:c>
      <x:c r="O93" s="24" t="str">
        <x:v>定价规则版本、券 ID、分摊明细</x:v>
      </x:c>
      <x:c r="P93" s="24" t="str">
        <x:v>更换时长/券或取消</x:v>
      </x:c>
      <x:c r="Q93" s="24" t="str">
        <x:v>待补 DEV-004</x:v>
      </x:c>
      <x:c r="R93" s="24" t="str"/>
    </x:row>
    <x:row r="94" ht="68" customHeight="1">
      <x:c r="A94" s="25" t="str">
        <x:v>DEV-005</x:v>
      </x:c>
      <x:c r="B94" s="25" t="str">
        <x:v>设备与IP</x:v>
      </x:c>
      <x:c r="C94" s="25" t="str">
        <x:v>待实操</x:v>
      </x:c>
      <x:c r="D94" s="25" t="str">
        <x:v>P0</x:v>
      </x:c>
      <x:c r="E94" s="24" t="str">
        <x:v>设备购买者</x:v>
      </x:c>
      <x:c r="F94" s="24" t="str">
        <x:v>当前客户端支付页</x:v>
      </x:c>
      <x:c r="G94" s="24" t="str">
        <x:v>当前终端/IP</x:v>
      </x:c>
      <x:c r="H94" s="24" t="str">
        <x:v>已创建待支付订单</x:v>
      </x:c>
      <x:c r="I94" s="24" t="str">
        <x:v>双击支付、2 标签并发</x:v>
      </x:c>
      <x:c r="J94" s="24" t="str">
        <x:v>首次提交后全端显示支付处理中</x:v>
      </x:c>
      <x:c r="K94" s="24" t="str">
        <x:v>订单正在支付，请勿重复提交。支付结果将在确认后更新。</x:v>
      </x:c>
      <x:c r="L94" s="24" t="str">
        <x:v>状态弹窗</x:v>
      </x:c>
      <x:c r="M94" s="24" t="str">
        <x:v>待实操；期望订单和渠道请求幂等，只扣款一次</x:v>
      </x:c>
      <x:c r="N94" s="24" t="str">
        <x:v>结果明确前锁定</x:v>
      </x:c>
      <x:c r="O94" s="24" t="str">
        <x:v>订单、支付流水、幂等键；支付通知</x:v>
      </x:c>
      <x:c r="P94" s="24" t="str">
        <x:v>查询支付结果；异常对账</x:v>
      </x:c>
      <x:c r="Q94" s="24" t="str">
        <x:v>待补 DEV-005</x:v>
      </x:c>
      <x:c r="R94" s="24" t="str"/>
    </x:row>
    <x:row r="95" ht="68" customHeight="1">
      <x:c r="A95" s="25" t="str">
        <x:v>DEV-006</x:v>
      </x:c>
      <x:c r="B95" s="25" t="str">
        <x:v>设备与IP</x:v>
      </x:c>
      <x:c r="C95" s="25" t="str">
        <x:v>待实操</x:v>
      </x:c>
      <x:c r="D95" s="25" t="str">
        <x:v>P0</x:v>
      </x:c>
      <x:c r="E95" s="24" t="str">
        <x:v>设备购买者</x:v>
      </x:c>
      <x:c r="F95" s="24" t="str">
        <x:v>当前客户端支付页</x:v>
      </x:c>
      <x:c r="G95" s="24" t="str">
        <x:v>当前终端/IP</x:v>
      </x:c>
      <x:c r="H95" s="24" t="str">
        <x:v>订单关闭与成功回调并发</x:v>
      </x:c>
      <x:c r="I95" s="24" t="str">
        <x:v>晚回调 1 次、刷新 5 次</x:v>
      </x:c>
      <x:c r="J95" s="24" t="str">
        <x:v>订单操作暂时锁定</x:v>
      </x:c>
      <x:c r="K95" s="24" t="str">
        <x:v>检测到支付结果延迟，正在核对资金，请勿重复支付。</x:v>
      </x:c>
      <x:c r="L95" s="24" t="str">
        <x:v>状态弹窗</x:v>
      </x:c>
      <x:c r="M95" s="24" t="str">
        <x:v>待实操；期望不出现已扣款但无订单，晚回调自动对账</x:v>
      </x:c>
      <x:c r="N95" s="24" t="str">
        <x:v>最长 5分钟核对</x:v>
      </x:c>
      <x:c r="O95" s="24" t="str">
        <x:v>渠道流水、关闭/回调时间；短信通知结果</x:v>
      </x:c>
      <x:c r="P95" s="24" t="str">
        <x:v>自动恢复订单或原路退款</x:v>
      </x:c>
      <x:c r="Q95" s="24" t="str">
        <x:v>待补 DEV-006</x:v>
      </x:c>
      <x:c r="R95" s="24" t="str"/>
    </x:row>
    <x:row r="96" ht="68" customHeight="1">
      <x:c r="A96" s="25" t="str">
        <x:v>DEV-007</x:v>
      </x:c>
      <x:c r="B96" s="25" t="str">
        <x:v>设备与IP</x:v>
      </x:c>
      <x:c r="C96" s="25" t="str">
        <x:v>待实操</x:v>
      </x:c>
      <x:c r="D96" s="25" t="str">
        <x:v>P0</x:v>
      </x:c>
      <x:c r="E96" s="24" t="str">
        <x:v>设备购买者</x:v>
      </x:c>
      <x:c r="F96" s="24" t="str">
        <x:v>当前客户端</x:v>
      </x:c>
      <x:c r="G96" s="24" t="str">
        <x:v>当前终端/IP</x:v>
      </x:c>
      <x:c r="H96" s="24" t="str">
        <x:v>支付成功但设备未交付</x:v>
      </x:c>
      <x:c r="I96" s="24" t="str">
        <x:v>等待 5/15/30 分钟</x:v>
      </x:c>
      <x:c r="J96" s="24" t="str">
        <x:v>显示配置进度；超时提供催交付</x:v>
      </x:c>
      <x:c r="K96" s="24" t="str">
        <x:v>支付成功，设备配置超时。订单资金安全，请提交催交付或申请人工处理。</x:v>
      </x:c>
      <x:c r="L96" s="24" t="str">
        <x:v>交付状态弹窗</x:v>
      </x:c>
      <x:c r="M96" s="24" t="str">
        <x:v>待实操；期望支付与交付分状态，不重复扣款</x:v>
      </x:c>
      <x:c r="N96" s="24" t="str">
        <x:v>催单 10分钟一次</x:v>
      </x:c>
      <x:c r="O96" s="24" t="str">
        <x:v>订单、供应商任务、交付状态；超时通知</x:v>
      </x:c>
      <x:c r="P96" s="24" t="str">
        <x:v>重试交付、换同价资源或退款审核</x:v>
      </x:c>
      <x:c r="Q96" s="24" t="str">
        <x:v>待补 DEV-007</x:v>
      </x:c>
      <x:c r="R96" s="24" t="str"/>
    </x:row>
    <x:row r="97" ht="68" customHeight="1">
      <x:c r="A97" s="25" t="str">
        <x:v>DEV-008</x:v>
      </x:c>
      <x:c r="B97" s="25" t="str">
        <x:v>设备与IP</x:v>
      </x:c>
      <x:c r="C97" s="25" t="str">
        <x:v>待实操</x:v>
      </x:c>
      <x:c r="D97" s="25" t="str">
        <x:v>P0</x:v>
      </x:c>
      <x:c r="E97" s="24" t="str">
        <x:v>设备管理员</x:v>
      </x:c>
      <x:c r="F97" s="24" t="str">
        <x:v>当前客户端</x:v>
      </x:c>
      <x:c r="G97" s="24" t="str">
        <x:v>自有代理/IP</x:v>
      </x:c>
      <x:c r="H97" s="24" t="str">
        <x:v>添加自有设备</x:v>
      </x:c>
      <x:c r="I97" s="24" t="str">
        <x:v>缺字段、非法端口、未知协议各 3 次</x:v>
      </x:c>
      <x:c r="J97" s="24" t="str">
        <x:v>必填合法前检测禁用</x:v>
      </x:c>
      <x:c r="K97" s="24" t="str">
        <x:v>请填写有效的主机、端口和代理协议。代理密码将加密保存，请勿在设备名称中填写凭证。</x:v>
      </x:c>
      <x:c r="L97" s="24" t="str">
        <x:v>字段提示</x:v>
      </x:c>
      <x:c r="M97" s="24" t="str">
        <x:v>待实操；期望凭证不进日志，保存前必须检测</x:v>
      </x:c>
      <x:c r="N97" s="24" t="str">
        <x:v>500ms</x:v>
      </x:c>
      <x:c r="O97" s="24" t="str">
        <x:v>地址脱敏、协议、校验结果</x:v>
      </x:c>
      <x:c r="P97" s="24" t="str">
        <x:v>修正配置</x:v>
      </x:c>
      <x:c r="Q97" s="24" t="str">
        <x:v>待补 DEV-008</x:v>
      </x:c>
      <x:c r="R97" s="24" t="str"/>
    </x:row>
    <x:row r="98" ht="68" customHeight="1">
      <x:c r="A98" s="25" t="str">
        <x:v>DEV-009</x:v>
      </x:c>
      <x:c r="B98" s="25" t="str">
        <x:v>设备与IP</x:v>
      </x:c>
      <x:c r="C98" s="25" t="str">
        <x:v>待实操</x:v>
      </x:c>
      <x:c r="D98" s="25" t="str">
        <x:v>P1</x:v>
      </x:c>
      <x:c r="E98" s="24" t="str">
        <x:v>设备管理员</x:v>
      </x:c>
      <x:c r="F98" s="24" t="str">
        <x:v>当前客户端</x:v>
      </x:c>
      <x:c r="G98" s="24" t="str">
        <x:v>自有代理/IP</x:v>
      </x:c>
      <x:c r="H98" s="24" t="str">
        <x:v>资料完整但检测异常</x:v>
      </x:c>
      <x:c r="I98" s="24" t="str">
        <x:v>检测失败 3 次、出口地区变化 2 次</x:v>
      </x:c>
      <x:c r="J98" s="24" t="str">
        <x:v>检测中禁用保存；失败可重试</x:v>
      </x:c>
      <x:c r="K98" s="24" t="str">
        <x:v>代理连接失败：认证失败。当前检测出口为“日本东京”，与预期“美国”不一致，请确认后再保存。</x:v>
      </x:c>
      <x:c r="L98" s="24" t="str">
        <x:v>检测结果弹窗</x:v>
      </x:c>
      <x:c r="M98" s="24" t="str">
        <x:v>待实操；期望连通和地理结果分别展示，不把一次检测当长期保证</x:v>
      </x:c>
      <x:c r="N98" s="24" t="str">
        <x:v>失败 10s；成功结果复用 60s</x:v>
      </x:c>
      <x:c r="O98" s="24" t="str">
        <x:v>耗时、出口 IP 脱敏、地区、失败码</x:v>
      </x:c>
      <x:c r="P98" s="24" t="str">
        <x:v>修改凭证、联系代理商或接受差异</x:v>
      </x:c>
      <x:c r="Q98" s="24" t="str">
        <x:v>待补 DEV-009</x:v>
      </x:c>
      <x:c r="R98" s="24" t="str"/>
    </x:row>
    <x:row r="99" ht="68" customHeight="1">
      <x:c r="A99" s="25" t="str">
        <x:v>DEV-010</x:v>
      </x:c>
      <x:c r="B99" s="25" t="str">
        <x:v>设备与IP</x:v>
      </x:c>
      <x:c r="C99" s="25" t="str">
        <x:v>待实操</x:v>
      </x:c>
      <x:c r="D99" s="25" t="str">
        <x:v>P1</x:v>
      </x:c>
      <x:c r="E99" s="24" t="str">
        <x:v>设备管理员</x:v>
      </x:c>
      <x:c r="F99" s="24" t="str">
        <x:v>当前客户端</x:v>
      </x:c>
      <x:c r="G99" s="24" t="str">
        <x:v>多条自有代理/IP</x:v>
      </x:c>
      <x:c r="H99" s="24" t="str">
        <x:v>批量导入</x:v>
      </x:c>
      <x:c r="I99" s="24" t="str">
        <x:v>重复行、部分失败、重复提交</x:v>
      </x:c>
      <x:c r="J99" s="24" t="str">
        <x:v>校验后才能确认；显示逐行结果</x:v>
      </x:c>
      <x:c r="K99" s="24" t="str">
        <x:v>共 100 行：80 行可导入，15 行重复，5 行连接失败。请选择仅导入成功项或修正后全部重试。</x:v>
      </x:c>
      <x:c r="L99" s="24" t="str">
        <x:v>导入结果弹窗</x:v>
      </x:c>
      <x:c r="M99" s="24" t="str">
        <x:v>待实操；期望批次幂等，部分成功需明确选择</x:v>
      </x:c>
      <x:c r="N99" s="24" t="str">
        <x:v>同文件 30s 去重</x:v>
      </x:c>
      <x:c r="O99" s="24" t="str">
        <x:v>批次、行号、设备指纹、失败原因</x:v>
      </x:c>
      <x:c r="P99" s="24" t="str">
        <x:v>导入成功项或下载错误明细</x:v>
      </x:c>
      <x:c r="Q99" s="24" t="str">
        <x:v>待补 DEV-010</x:v>
      </x:c>
      <x:c r="R99" s="24" t="str"/>
    </x:row>
    <x:row r="100" ht="68" customHeight="1">
      <x:c r="A100" s="25" t="str">
        <x:v>DEV-011</x:v>
      </x:c>
      <x:c r="B100" s="25" t="str">
        <x:v>设备与IP</x:v>
      </x:c>
      <x:c r="C100" s="25" t="str">
        <x:v>待实操</x:v>
      </x:c>
      <x:c r="D100" s="25" t="str">
        <x:v>P0</x:v>
      </x:c>
      <x:c r="E100" s="24" t="str">
        <x:v>有续费权限成员</x:v>
      </x:c>
      <x:c r="F100" s="24" t="str">
        <x:v>当前客户端</x:v>
      </x:c>
      <x:c r="G100" s="24" t="str">
        <x:v>有效平台设备/IP</x:v>
      </x:c>
      <x:c r="H100" s="24" t="str">
        <x:v>设备仍有效</x:v>
      </x:c>
      <x:c r="I100" s="24" t="str">
        <x:v>2 人同时手动续费</x:v>
      </x:c>
      <x:c r="J100" s="24" t="str">
        <x:v>首个订单后显示处理中</x:v>
      </x:c>
      <x:c r="K100" s="24" t="str">
        <x:v>该设备已有续费订单处理中，请勿重复续费。到期时间将在支付确认后更新。</x:v>
      </x:c>
      <x:c r="L100" s="24" t="str">
        <x:v>Toast/状态弹窗</x:v>
      </x:c>
      <x:c r="M100" s="24" t="str">
        <x:v>待实操；期望同设备同时只有一个有效续费事务</x:v>
      </x:c>
      <x:c r="N100" s="24" t="str">
        <x:v>支付完成前锁定</x:v>
      </x:c>
      <x:c r="O100" s="24" t="str">
        <x:v>设备 ID、原到期日、续费订单、操作者</x:v>
      </x:c>
      <x:c r="P100" s="24" t="str">
        <x:v>完成/取消原订单后重试</x:v>
      </x:c>
      <x:c r="Q100" s="24" t="str">
        <x:v>待补 DEV-011</x:v>
      </x:c>
      <x:c r="R100" s="24" t="str"/>
    </x:row>
    <x:row r="101" ht="68" customHeight="1">
      <x:c r="A101" s="25" t="str">
        <x:v>DEV-012</x:v>
      </x:c>
      <x:c r="B101" s="25" t="str">
        <x:v>设备与IP</x:v>
      </x:c>
      <x:c r="C101" s="25" t="str">
        <x:v>待实操</x:v>
      </x:c>
      <x:c r="D101" s="25" t="str">
        <x:v>P0</x:v>
      </x:c>
      <x:c r="E101" s="24" t="str">
        <x:v>财务/管理员</x:v>
      </x:c>
      <x:c r="F101" s="24" t="str">
        <x:v>当前客户端/服务端任务</x:v>
      </x:c>
      <x:c r="G101" s="24" t="str">
        <x:v>平台设备/IP</x:v>
      </x:c>
      <x:c r="H101" s="24" t="str">
        <x:v>自动续费且余额不足或价格变化</x:v>
      </x:c>
      <x:c r="I101" s="24" t="str">
        <x:v>扣款任务重试 3 次</x:v>
      </x:c>
      <x:c r="J101" s="24" t="str">
        <x:v>扣款中不可重复开关；失败显示充值入口</x:v>
      </x:c>
      <x:c r="K101" s="24" t="str">
        <x:v>自动续费失败：团队余额不足 ¥{差额}。设备将在 YYYY-MM-DD HH:mm 到期，请及时充值或手动续费。</x:v>
      </x:c>
      <x:c r="L101" s="24" t="str">
        <x:v>站内弹窗/列表状态</x:v>
      </x:c>
      <x:c r="M101" s="24" t="str">
        <x:v>待实操；期望只生成一次扣款，价格变化提前通知</x:v>
      </x:c>
      <x:c r="N101" s="24" t="str">
        <x:v>建议失败后 1h、6h 重试，最多 2 次</x:v>
      </x:c>
      <x:c r="O101" s="24" t="str">
        <x:v>扣款任务、余额前后值；站内信和短信</x:v>
      </x:c>
      <x:c r="P101" s="24" t="str">
        <x:v>充值后重试、手动续费或取消</x:v>
      </x:c>
      <x:c r="Q101" s="24" t="str">
        <x:v>待补 DEV-012</x:v>
      </x:c>
      <x:c r="R101" s="24" t="str"/>
    </x:row>
    <x:row r="102" ht="68" customHeight="1">
      <x:c r="A102" s="25" t="str">
        <x:v>DEV-013</x:v>
      </x:c>
      <x:c r="B102" s="25" t="str">
        <x:v>设备与IP</x:v>
      </x:c>
      <x:c r="C102" s="25" t="str">
        <x:v>待实操</x:v>
      </x:c>
      <x:c r="D102" s="25" t="str">
        <x:v>P0</x:v>
      </x:c>
      <x:c r="E102" s="24" t="str">
        <x:v>店铺成员/管理员</x:v>
      </x:c>
      <x:c r="F102" s="24" t="str">
        <x:v>当前客户端</x:v>
      </x:c>
      <x:c r="G102" s="24" t="str">
        <x:v>即将到期平台设备/IP</x:v>
      </x:c>
      <x:c r="H102" s="24" t="str">
        <x:v>设备到期且绑定多店铺</x:v>
      </x:c>
      <x:c r="I102" s="24" t="str">
        <x:v>到期瞬间存在运行会话</x:v>
      </x:c>
      <x:c r="J102" s="24" t="str">
        <x:v>访问立即禁用；运行会话显示退出倒计时</x:v>
      </x:c>
      <x:c r="K102" s="24" t="str">
        <x:v>设备已到期，关联的 {n} 家店铺将无法继续访问。请续费或绑定新设备。</x:v>
      </x:c>
      <x:c r="L102" s="24" t="str">
        <x:v>阻断弹窗</x:v>
      </x:c>
      <x:c r="M102" s="24" t="str">
        <x:v>待实操；期望到期、解绑和会话终止状态一致，提前 7/3/1 天提醒</x:v>
      </x:c>
      <x:c r="N102" s="24" t="str">
        <x:v>无</x:v>
      </x:c>
      <x:c r="O102" s="24" t="str">
        <x:v>到期、解绑、会话终止；短信通知负责人</x:v>
      </x:c>
      <x:c r="P102" s="24" t="str">
        <x:v>允许时续费或批量绑定新设备</x:v>
      </x:c>
      <x:c r="Q102" s="24" t="str">
        <x:v>待补 DEV-013</x:v>
      </x:c>
      <x:c r="R102" s="24" t="str"/>
    </x:row>
    <x:row r="103" ht="68" customHeight="1">
      <x:c r="A103" s="25" t="str">
        <x:v>DEV-014</x:v>
      </x:c>
      <x:c r="B103" s="25" t="str">
        <x:v>设备与IP</x:v>
      </x:c>
      <x:c r="C103" s="25" t="str">
        <x:v>待实操</x:v>
      </x:c>
      <x:c r="D103" s="25" t="str">
        <x:v>P1</x:v>
      </x:c>
      <x:c r="E103" s="24" t="str">
        <x:v>有换 IP 权限成员</x:v>
      </x:c>
      <x:c r="F103" s="24" t="str">
        <x:v>当前客户端</x:v>
      </x:c>
      <x:c r="G103" s="24" t="str">
        <x:v>平台设备/IP</x:v>
      </x:c>
      <x:c r="H103" s="24" t="str">
        <x:v>无次数、无库存、供应商不一致或折算不足</x:v>
      </x:c>
      <x:c r="I103" s="24" t="str">
        <x:v>每类 3 次</x:v>
      </x:c>
      <x:c r="J103" s="24" t="str">
        <x:v>不满足条件时下一步禁用</x:v>
      </x:c>
      <x:c r="K103" s="24" t="str">
        <x:v>暂不可更换：剩余次数为 0，或当前无同供应商同价库存，或折算后剩余时长不足 30 天。</x:v>
      </x:c>
      <x:c r="L103" s="24" t="str">
        <x:v>资格结果弹窗</x:v>
      </x:c>
      <x:c r="M103" s="24" t="str">
        <x:v>待实操；期望确认前展示每项资格检查</x:v>
      </x:c>
      <x:c r="N103" s="24" t="str">
        <x:v>资格刷新 30s</x:v>
      </x:c>
      <x:c r="O103" s="24" t="str">
        <x:v>规则、次数、库存、折算明细</x:v>
      </x:c>
      <x:c r="P103" s="24" t="str">
        <x:v>续费、等待库存或联系客服</x:v>
      </x:c>
      <x:c r="Q103" s="24" t="str">
        <x:v>待补 DEV-014</x:v>
      </x:c>
      <x:c r="R103" s="24" t="str"/>
    </x:row>
    <x:row r="104" ht="68" customHeight="1">
      <x:c r="A104" s="25" t="str">
        <x:v>DEV-015</x:v>
      </x:c>
      <x:c r="B104" s="25" t="str">
        <x:v>设备与IP</x:v>
      </x:c>
      <x:c r="C104" s="25" t="str">
        <x:v>待实操</x:v>
      </x:c>
      <x:c r="D104" s="25" t="str">
        <x:v>P0</x:v>
      </x:c>
      <x:c r="E104" s="24" t="str">
        <x:v>设备管理员</x:v>
      </x:c>
      <x:c r="F104" s="24" t="str">
        <x:v>当前客户端</x:v>
      </x:c>
      <x:c r="G104" s="24" t="str">
        <x:v>旧/新平台设备 IP</x:v>
      </x:c>
      <x:c r="H104" s="24" t="str">
        <x:v>换 IP 资格通过，旧设备绑定店铺</x:v>
      </x:c>
      <x:c r="I104" s="24" t="str">
        <x:v>自动承接/自动解绑各 1 次；中断 1 次</x:v>
      </x:c>
      <x:c r="J104" s="24" t="str">
        <x:v>提交后冻结旧设备和绑定编辑</x:v>
      </x:c>
      <x:c r="K104" s="24" t="str">
        <x:v>请选择：将 {n} 家店铺自动绑定到新设备，或解除全部绑定后手动处理。更换完成后旧 IP 不可继续使用。</x:v>
      </x:c>
      <x:c r="L104" s="24" t="str">
        <x:v>高风险确认弹窗</x:v>
      </x:c>
      <x:c r="M104" s="24" t="str">
        <x:v>待实操；期望换 IP、时长折算和绑定迁移构成可回滚事务</x:v>
      </x:c>
      <x:c r="N104" s="24" t="str">
        <x:v>成功后建议 5分钟内不可再次更换</x:v>
      </x:c>
      <x:c r="O104" s="24" t="str">
        <x:v>新旧设备、绑定清单、次数扣减；通知负责人</x:v>
      </x:c>
      <x:c r="P104" s="24" t="str">
        <x:v>失败恢复旧设备；支持批量重绑</x:v>
      </x:c>
      <x:c r="Q104" s="24" t="str">
        <x:v>待补 DEV-015</x:v>
      </x:c>
      <x:c r="R104" s="24" t="str"/>
    </x:row>
    <x:row r="105" ht="68" customHeight="1">
      <x:c r="A105" s="25" t="str">
        <x:v>TEAM-001</x:v>
      </x:c>
      <x:c r="B105" s="25" t="str">
        <x:v>团队与权限</x:v>
      </x:c>
      <x:c r="C105" s="25" t="str">
        <x:v>待实操</x:v>
      </x:c>
      <x:c r="D105" s="25" t="str">
        <x:v>P1</x:v>
      </x:c>
      <x:c r="E105" s="24" t="str">
        <x:v>管理员</x:v>
      </x:c>
      <x:c r="F105" s="24" t="str">
        <x:v>当前客户端</x:v>
      </x:c>
      <x:c r="G105" s="24" t="str">
        <x:v>当前设备/IP</x:v>
      </x:c>
      <x:c r="H105" s="24" t="str">
        <x:v>部门和角色已存在</x:v>
      </x:c>
      <x:c r="I105" s="24" t="str">
        <x:v>空值、弱密码、非法名称各 3 次</x:v>
      </x:c>
      <x:c r="J105" s="24" t="str">
        <x:v>表单合法前提交禁用</x:v>
      </x:c>
      <x:c r="K105" s="24" t="str">
        <x:v>请填写部门、成员名称、登录密码和角色。成员名称格式不正确。</x:v>
      </x:c>
      <x:c r="L105" s="24" t="str">
        <x:v>字段提示</x:v>
      </x:c>
      <x:c r="M105" s="24" t="str">
        <x:v>待实操；期望无效成员不创建，密码不写日志</x:v>
      </x:c>
      <x:c r="N105" s="24" t="str">
        <x:v>500ms</x:v>
      </x:c>
      <x:c r="O105" s="24" t="str">
        <x:v>字段校验，不记录密码</x:v>
      </x:c>
      <x:c r="P105" s="24" t="str">
        <x:v>修正后提交</x:v>
      </x:c>
      <x:c r="Q105" s="24" t="str">
        <x:v>待补 TEAM-001</x:v>
      </x:c>
      <x:c r="R105" s="24" t="str"/>
    </x:row>
    <x:row r="106" ht="68" customHeight="1">
      <x:c r="A106" s="25" t="str">
        <x:v>TEAM-002</x:v>
      </x:c>
      <x:c r="B106" s="25" t="str">
        <x:v>团队与权限</x:v>
      </x:c>
      <x:c r="C106" s="25" t="str">
        <x:v>待实操</x:v>
      </x:c>
      <x:c r="D106" s="25" t="str">
        <x:v>P1</x:v>
      </x:c>
      <x:c r="E106" s="24" t="str">
        <x:v>两名管理员</x:v>
      </x:c>
      <x:c r="F106" s="24" t="str">
        <x:v>当前客户端</x:v>
      </x:c>
      <x:c r="G106" s="24" t="str">
        <x:v>两台设备/同团队</x:v>
      </x:c>
      <x:c r="H106" s="24" t="str">
        <x:v>同时创建同名成员或超过席位</x:v>
      </x:c>
      <x:c r="I106" s="24" t="str">
        <x:v>并发 2</x:v>
      </x:c>
      <x:c r="J106" s="24" t="str">
        <x:v>首次成功后另一请求失败</x:v>
      </x:c>
      <x:c r="K106" s="24" t="str">
        <x:v>成员名称已被占用，或团队可用成员席位不足。请刷新后重试。</x:v>
      </x:c>
      <x:c r="L106" s="24" t="str">
        <x:v>阻断弹窗</x:v>
      </x:c>
      <x:c r="M106" s="24" t="str">
        <x:v>待实操；期望唯一性和席位由服务端原子校验</x:v>
      </x:c>
      <x:c r="N106" s="24" t="str">
        <x:v>1s</x:v>
      </x:c>
      <x:c r="O106" s="24" t="str">
        <x:v>创建请求、冲突对象、席位变化</x:v>
      </x:c>
      <x:c r="P106" s="24" t="str">
        <x:v>更名、扩容或刷新</x:v>
      </x:c>
      <x:c r="Q106" s="24" t="str">
        <x:v>待补 TEAM-002</x:v>
      </x:c>
      <x:c r="R106" s="24" t="str"/>
    </x:row>
    <x:row r="107" ht="68" customHeight="1">
      <x:c r="A107" s="25" t="str">
        <x:v>TEAM-003</x:v>
      </x:c>
      <x:c r="B107" s="25" t="str">
        <x:v>团队与权限</x:v>
      </x:c>
      <x:c r="C107" s="25" t="str">
        <x:v>待实操</x:v>
      </x:c>
      <x:c r="D107" s="25" t="str">
        <x:v>P0</x:v>
      </x:c>
      <x:c r="E107" s="24" t="str">
        <x:v>管理员</x:v>
      </x:c>
      <x:c r="F107" s="24" t="str">
        <x:v>当前客户端</x:v>
      </x:c>
      <x:c r="G107" s="24" t="str">
        <x:v>当前设备/IP</x:v>
      </x:c>
      <x:c r="H107" s="24" t="str">
        <x:v>成员存在有效会话</x:v>
      </x:c>
      <x:c r="I107" s="24" t="str">
        <x:v>修改密码、手机号、名称各 1 次</x:v>
      </x:c>
      <x:c r="J107" s="24" t="str">
        <x:v>保存前展示影响确认</x:v>
      </x:c>
      <x:c r="K107" s="24" t="str">
        <x:v>修改密码或登录手机号码后，该成员所有已登录设备将退出。是否继续？</x:v>
      </x:c>
      <x:c r="L107" s="24" t="str">
        <x:v>高风险确认弹窗</x:v>
      </x:c>
      <x:c r="M107" s="24" t="str">
        <x:v>待实操；期望敏感资料变更与会话撤销原子生效</x:v>
      </x:c>
      <x:c r="N107" s="24" t="str">
        <x:v>60s 内禁止重复改手机号</x:v>
      </x:c>
      <x:c r="O107" s="24" t="str">
        <x:v>变更前后脱敏值；通知新旧手机号</x:v>
      </x:c>
      <x:c r="P107" s="24" t="str">
        <x:v>重新登录；管理员可修正</x:v>
      </x:c>
      <x:c r="Q107" s="24" t="str">
        <x:v>待补 TEAM-003</x:v>
      </x:c>
      <x:c r="R107" s="24" t="str"/>
    </x:row>
    <x:row r="108" ht="68" customHeight="1">
      <x:c r="A108" s="25" t="str">
        <x:v>TEAM-004</x:v>
      </x:c>
      <x:c r="B108" s="25" t="str">
        <x:v>团队与权限</x:v>
      </x:c>
      <x:c r="C108" s="25" t="str">
        <x:v>待实操</x:v>
      </x:c>
      <x:c r="D108" s="25" t="str">
        <x:v>P0</x:v>
      </x:c>
      <x:c r="E108" s="24" t="str">
        <x:v>管理员</x:v>
      </x:c>
      <x:c r="F108" s="24" t="str">
        <x:v>当前客户端</x:v>
      </x:c>
      <x:c r="G108" s="24" t="str">
        <x:v>成员正在使用的终端/IP</x:v>
      </x:c>
      <x:c r="H108" s="24" t="str">
        <x:v>成员正在访问店铺</x:v>
      </x:c>
      <x:c r="I108" s="24" t="str">
        <x:v>暂停 1 次、并发操作 5 次</x:v>
      </x:c>
      <x:c r="J108" s="24" t="str">
        <x:v>提交后成员操作立即禁用</x:v>
      </x:c>
      <x:c r="K108" s="24" t="str">
        <x:v>暂停后，该成员将立即退出客户端和店铺环境。店铺授权将冻结保留，不会转移。确认暂停？</x:v>
      </x:c>
      <x:c r="L108" s="24" t="str">
        <x:v>高风险确认弹窗</x:v>
      </x:c>
      <x:c r="M108" s="24" t="str">
        <x:v>待实操；期望即时撤销会话，并用“冻结保留”解决文档冲突</x:v>
      </x:c>
      <x:c r="N108" s="24" t="str">
        <x:v>30s</x:v>
      </x:c>
      <x:c r="O108" s="24" t="str">
        <x:v>暂停、会话终止、授权快照；通知成员</x:v>
      </x:c>
      <x:c r="P108" s="24" t="str">
        <x:v>管理员恢复</x:v>
      </x:c>
      <x:c r="Q108" s="24" t="str">
        <x:v>待补 TEAM-004</x:v>
      </x:c>
      <x:c r="R108" s="24" t="str"/>
    </x:row>
    <x:row r="109" ht="68" customHeight="1">
      <x:c r="A109" s="25" t="str">
        <x:v>TEAM-005</x:v>
      </x:c>
      <x:c r="B109" s="25" t="str">
        <x:v>团队与权限</x:v>
      </x:c>
      <x:c r="C109" s="25" t="str">
        <x:v>待实操</x:v>
      </x:c>
      <x:c r="D109" s="25" t="str">
        <x:v>P0</x:v>
      </x:c>
      <x:c r="E109" s="24" t="str">
        <x:v>管理员</x:v>
      </x:c>
      <x:c r="F109" s="24" t="str">
        <x:v>当前客户端</x:v>
      </x:c>
      <x:c r="G109" s="24" t="str">
        <x:v>当前设备/IP</x:v>
      </x:c>
      <x:c r="H109" s="24" t="str">
        <x:v>成员已暂停</x:v>
      </x:c>
      <x:c r="I109" s="24" t="str">
        <x:v>恢复 1 次、重复点击 3 次</x:v>
      </x:c>
      <x:c r="J109" s="24" t="str">
        <x:v>恢复中禁用</x:v>
      </x:c>
      <x:c r="K109" s="24" t="str">
        <x:v>恢复后将按暂停前的角色、部门和店铺授权重新计算权限。发现 {n} 项授权已失效，请恢复后重新配置。</x:v>
      </x:c>
      <x:c r="L109" s="24" t="str">
        <x:v>影响提示弹窗</x:v>
      </x:c>
      <x:c r="M109" s="24" t="str">
        <x:v>待实操；期望不恢复已删除对象的授权</x:v>
      </x:c>
      <x:c r="N109" s="24" t="str">
        <x:v>10s</x:v>
      </x:c>
      <x:c r="O109" s="24" t="str">
        <x:v>恢复前后权限差异；通知成员</x:v>
      </x:c>
      <x:c r="P109" s="24" t="str">
        <x:v>补授权或重新分配角色</x:v>
      </x:c>
      <x:c r="Q109" s="24" t="str">
        <x:v>待补 TEAM-005</x:v>
      </x:c>
      <x:c r="R109" s="24" t="str"/>
    </x:row>
    <x:row r="110" ht="68" customHeight="1">
      <x:c r="A110" s="25" t="str">
        <x:v>TEAM-006</x:v>
      </x:c>
      <x:c r="B110" s="25" t="str">
        <x:v>团队与权限</x:v>
      </x:c>
      <x:c r="C110" s="25" t="str">
        <x:v>待实操</x:v>
      </x:c>
      <x:c r="D110" s="25" t="str">
        <x:v>P0</x:v>
      </x:c>
      <x:c r="E110" s="24" t="str">
        <x:v>上级管理员</x:v>
      </x:c>
      <x:c r="F110" s="24" t="str">
        <x:v>当前客户端</x:v>
      </x:c>
      <x:c r="G110" s="24" t="str">
        <x:v>当前设备/IP</x:v>
      </x:c>
      <x:c r="H110" s="24" t="str">
        <x:v>暂停成员仍持有资产</x:v>
      </x:c>
      <x:c r="I110" s="24" t="str">
        <x:v>删除 1 次</x:v>
      </x:c>
      <x:c r="J110" s="24" t="str">
        <x:v>未完成资产移交前删除禁用</x:v>
      </x:c>
      <x:c r="K110" s="24" t="str">
        <x:v>该成员仍负责 {n} 家店铺、{m} 个凭证授权和待审批事项，请先选择接收人。删除后账号不可登录。</x:v>
      </x:c>
      <x:c r="L110" s="24" t="str">
        <x:v>高风险确认弹窗</x:v>
      </x:c>
      <x:c r="M110" s="24" t="str">
        <x:v>待实操；期望先移交再软删除，历史日志保留原操作者</x:v>
      </x:c>
      <x:c r="N110" s="24" t="str">
        <x:v>24小时内禁止同名重建</x:v>
      </x:c>
      <x:c r="O110" s="24" t="str">
        <x:v>移交清单、删除审计；通知接收人</x:v>
      </x:c>
      <x:c r="P110" s="24" t="str">
        <x:v>建议 7 日回收站</x:v>
      </x:c>
      <x:c r="Q110" s="24" t="str">
        <x:v>待补 TEAM-006</x:v>
      </x:c>
      <x:c r="R110" s="24" t="str"/>
    </x:row>
    <x:row r="111" ht="68" customHeight="1">
      <x:c r="A111" s="25" t="str">
        <x:v>TEAM-007</x:v>
      </x:c>
      <x:c r="B111" s="25" t="str">
        <x:v>团队与权限</x:v>
      </x:c>
      <x:c r="C111" s="25" t="str">
        <x:v>待实操</x:v>
      </x:c>
      <x:c r="D111" s="25" t="str">
        <x:v>P1</x:v>
      </x:c>
      <x:c r="E111" s="24" t="str">
        <x:v>部门管理员</x:v>
      </x:c>
      <x:c r="F111" s="24" t="str">
        <x:v>当前客户端</x:v>
      </x:c>
      <x:c r="G111" s="24" t="str">
        <x:v>当前设备/IP</x:v>
      </x:c>
      <x:c r="H111" s="24" t="str">
        <x:v>部门有成员或下级部门</x:v>
      </x:c>
      <x:c r="I111" s="24" t="str">
        <x:v>删除 3 次</x:v>
      </x:c>
      <x:c r="J111" s="24" t="str">
        <x:v>删除禁用并显示阻断原因</x:v>
      </x:c>
      <x:c r="K111" s="24" t="str">
        <x:v>该部门包含 {n} 名成员和 {m} 个下级部门，无法删除。请先迁移成员并处理下级部门。</x:v>
      </x:c>
      <x:c r="L111" s="24" t="str">
        <x:v>阻断弹窗</x:v>
      </x:c>
      <x:c r="M111" s="24" t="str">
        <x:v>待实操；期望不产生孤儿成员或断裂部门树</x:v>
      </x:c>
      <x:c r="N111" s="24" t="str">
        <x:v>无</x:v>
      </x:c>
      <x:c r="O111" s="24" t="str">
        <x:v>删除尝试及依赖数量</x:v>
      </x:c>
      <x:c r="P111" s="24" t="str">
        <x:v>完成迁移后删除</x:v>
      </x:c>
      <x:c r="Q111" s="24" t="str">
        <x:v>待补 TEAM-007</x:v>
      </x:c>
      <x:c r="R111" s="24" t="str"/>
    </x:row>
    <x:row r="112" ht="68" customHeight="1">
      <x:c r="A112" s="25" t="str">
        <x:v>TEAM-008</x:v>
      </x:c>
      <x:c r="B112" s="25" t="str">
        <x:v>团队与权限</x:v>
      </x:c>
      <x:c r="C112" s="25" t="str">
        <x:v>待实操</x:v>
      </x:c>
      <x:c r="D112" s="25" t="str">
        <x:v>P0</x:v>
      </x:c>
      <x:c r="E112" s="24" t="str">
        <x:v>管理员</x:v>
      </x:c>
      <x:c r="F112" s="24" t="str">
        <x:v>当前客户端</x:v>
      </x:c>
      <x:c r="G112" s="24" t="str">
        <x:v>当前设备/IP</x:v>
      </x:c>
      <x:c r="H112" s="24" t="str">
        <x:v>移动成员或部门</x:v>
      </x:c>
      <x:c r="I112" s="24" t="str">
        <x:v>批量移动 50 人、并发授权变更</x:v>
      </x:c>
      <x:c r="J112" s="24" t="str">
        <x:v>计算影响期间提交禁用</x:v>
      </x:c>
      <x:c r="K112" s="24" t="str">
        <x:v>调整部门将改变 50 名成员的数据可见范围，其中 8 人将失去店铺访问权限。确认生效？</x:v>
      </x:c>
      <x:c r="L112" s="24" t="str">
        <x:v>影响确认弹窗</x:v>
      </x:c>
      <x:c r="M112" s="24" t="str">
        <x:v>待实操；期望组织关系和数据范围同事务更新</x:v>
      </x:c>
      <x:c r="N112" s="24" t="str">
        <x:v>60s 内同部门不可再次移动</x:v>
      </x:c>
      <x:c r="O112" s="24" t="str">
        <x:v>范围差异、受影响成员；站内通知</x:v>
      </x:c>
      <x:c r="P112" s="24" t="str">
        <x:v>失败回滚；成功可反向移动</x:v>
      </x:c>
      <x:c r="Q112" s="24" t="str">
        <x:v>待补 TEAM-008</x:v>
      </x:c>
      <x:c r="R112" s="24" t="str"/>
    </x:row>
    <x:row r="113" ht="68" customHeight="1">
      <x:c r="A113" s="25" t="str">
        <x:v>TEAM-009</x:v>
      </x:c>
      <x:c r="B113" s="25" t="str">
        <x:v>团队与权限</x:v>
      </x:c>
      <x:c r="C113" s="25" t="str">
        <x:v>待实操</x:v>
      </x:c>
      <x:c r="D113" s="25" t="str">
        <x:v>P0</x:v>
      </x:c>
      <x:c r="E113" s="24" t="str">
        <x:v>超级管理员</x:v>
      </x:c>
      <x:c r="F113" s="24" t="str">
        <x:v>当前客户端</x:v>
      </x:c>
      <x:c r="G113" s="24" t="str">
        <x:v>当前设备/IP</x:v>
      </x:c>
      <x:c r="H113" s="24" t="str">
        <x:v>创建自定义角色</x:v>
      </x:c>
      <x:c r="I113" s="24" t="str">
        <x:v>取消依赖权限、越权勾选各 3 次</x:v>
      </x:c>
      <x:c r="J113" s="24" t="str">
        <x:v>自动依赖项只读并说明原因</x:v>
      </x:c>
      <x:c r="K113" s="24" t="str">
        <x:v>“购买设备”依赖“查看设备、订单与卡券”，系统已自动补充必要权限。</x:v>
      </x:c>
      <x:c r="L113" s="24" t="str">
        <x:v>权限说明</x:v>
      </x:c>
      <x:c r="M113" s="24" t="str">
        <x:v>待实操；期望权限依赖可解释，不生成不可执行角色</x:v>
      </x:c>
      <x:c r="N113" s="24" t="str">
        <x:v>500ms</x:v>
      </x:c>
      <x:c r="O113" s="24" t="str">
        <x:v>角色权限快照、自动依赖项</x:v>
      </x:c>
      <x:c r="P113" s="24" t="str">
        <x:v>调整角色配置</x:v>
      </x:c>
      <x:c r="Q113" s="24" t="str">
        <x:v>待补 TEAM-009</x:v>
      </x:c>
      <x:c r="R113" s="24" t="str"/>
    </x:row>
    <x:row r="114" ht="68" customHeight="1">
      <x:c r="A114" s="25" t="str">
        <x:v>TEAM-010</x:v>
      </x:c>
      <x:c r="B114" s="25" t="str">
        <x:v>团队与权限</x:v>
      </x:c>
      <x:c r="C114" s="25" t="str">
        <x:v>待实操</x:v>
      </x:c>
      <x:c r="D114" s="25" t="str">
        <x:v>P0</x:v>
      </x:c>
      <x:c r="E114" s="24" t="str">
        <x:v>超级管理员</x:v>
      </x:c>
      <x:c r="F114" s="24" t="str">
        <x:v>当前客户端</x:v>
      </x:c>
      <x:c r="G114" s="24" t="str">
        <x:v>当前设备/IP</x:v>
      </x:c>
      <x:c r="H114" s="24" t="str">
        <x:v>角色绑定 100 名成员</x:v>
      </x:c>
      <x:c r="I114" s="24" t="str">
        <x:v>移除关键权限、并发业务操作</x:v>
      </x:c>
      <x:c r="J114" s="24" t="str">
        <x:v>保存前展示影响人数；保存中锁定</x:v>
      </x:c>
      <x:c r="K114" s="24" t="str">
        <x:v>本次变更将使 100 名成员失去“访问店铺”权限，并终止 12 个运行会话。确认立即生效？</x:v>
      </x:c>
      <x:c r="L114" s="24" t="str">
        <x:v>高风险确认弹窗</x:v>
      </x:c>
      <x:c r="M114" s="24" t="str">
        <x:v>待实操；期望权限撤销实时生效，高敏操作中止</x:v>
      </x:c>
      <x:c r="N114" s="24" t="str">
        <x:v>60s</x:v>
      </x:c>
      <x:c r="O114" s="24" t="str">
        <x:v>角色版本、成员数、终止会话；通知成员</x:v>
      </x:c>
      <x:c r="P114" s="24" t="str">
        <x:v>回滚上一角色版本</x:v>
      </x:c>
      <x:c r="Q114" s="24" t="str">
        <x:v>待补 TEAM-010</x:v>
      </x:c>
      <x:c r="R114" s="24" t="str"/>
    </x:row>
    <x:row r="115" ht="68" customHeight="1">
      <x:c r="A115" s="25" t="str">
        <x:v>TEAM-011</x:v>
      </x:c>
      <x:c r="B115" s="25" t="str">
        <x:v>团队与权限</x:v>
      </x:c>
      <x:c r="C115" s="25" t="str">
        <x:v>待实操</x:v>
      </x:c>
      <x:c r="D115" s="25" t="str">
        <x:v>P0</x:v>
      </x:c>
      <x:c r="E115" s="24" t="str">
        <x:v>超级管理员</x:v>
      </x:c>
      <x:c r="F115" s="24" t="str">
        <x:v>当前客户端</x:v>
      </x:c>
      <x:c r="G115" s="24" t="str">
        <x:v>当前设备/IP</x:v>
      </x:c>
      <x:c r="H115" s="24" t="str">
        <x:v>角色仍绑定成员</x:v>
      </x:c>
      <x:c r="I115" s="24" t="str">
        <x:v>删除角色 1 次</x:v>
      </x:c>
      <x:c r="J115" s="24" t="str">
        <x:v>未选替代角色前确认禁用</x:v>
      </x:c>
      <x:c r="K115" s="24" t="str">
        <x:v>该角色仍绑定 {n} 名成员。请选择替代角色后再删除，成员不会自动获得更高权限。</x:v>
      </x:c>
      <x:c r="L115" s="24" t="str">
        <x:v>阻断弹窗</x:v>
      </x:c>
      <x:c r="M115" s="24" t="str">
        <x:v>待实操；期望先迁移后删除，禁止无角色或自动提权</x:v>
      </x:c>
      <x:c r="N115" s="24" t="str">
        <x:v>无</x:v>
      </x:c>
      <x:c r="O115" s="24" t="str">
        <x:v>角色迁移和删除审计</x:v>
      </x:c>
      <x:c r="P115" s="24" t="str">
        <x:v>选择替代角色或取消</x:v>
      </x:c>
      <x:c r="Q115" s="24" t="str">
        <x:v>待补 TEAM-011</x:v>
      </x:c>
      <x:c r="R115" s="24" t="str"/>
    </x:row>
    <x:row r="116" ht="68" customHeight="1">
      <x:c r="A116" s="25" t="str">
        <x:v>TEAM-012</x:v>
      </x:c>
      <x:c r="B116" s="25" t="str">
        <x:v>团队与权限</x:v>
      </x:c>
      <x:c r="C116" s="25" t="str">
        <x:v>待实操</x:v>
      </x:c>
      <x:c r="D116" s="25" t="str">
        <x:v>P0</x:v>
      </x:c>
      <x:c r="E116" s="24" t="str">
        <x:v>管理员</x:v>
      </x:c>
      <x:c r="F116" s="24" t="str">
        <x:v>当前客户端</x:v>
      </x:c>
      <x:c r="G116" s="24" t="str">
        <x:v>当前设备/IP</x:v>
      </x:c>
      <x:c r="H116" s="24" t="str">
        <x:v>尝试编辑同级、上级或团队创建者</x:v>
      </x:c>
      <x:c r="I116" s="24" t="str">
        <x:v>每类 3 次；直达接口 3 次</x:v>
      </x:c>
      <x:c r="J116" s="24" t="str">
        <x:v>入口隐藏；直达返回 403</x:v>
      </x:c>
      <x:c r="K116" s="24" t="str">
        <x:v>你只能管理低于本人层级的成员，无法修改同级、上级或团队创建者。</x:v>
      </x:c>
      <x:c r="L116" s="24" t="str">
        <x:v>403/权限弹窗</x:v>
      </x:c>
      <x:c r="M116" s="24" t="str">
        <x:v>待实操；期望前后端一致阻断越权</x:v>
      </x:c>
      <x:c r="N116" s="24" t="str">
        <x:v>无</x:v>
      </x:c>
      <x:c r="O116" s="24" t="str">
        <x:v>越权目标、操作者、来源；高频告警</x:v>
      </x:c>
      <x:c r="P116" s="24" t="str">
        <x:v>由更高角色处理</x:v>
      </x:c>
      <x:c r="Q116" s="24" t="str">
        <x:v>待补 TEAM-012</x:v>
      </x:c>
      <x:c r="R116" s="24" t="str"/>
    </x:row>
    <x:row r="117" ht="68" customHeight="1">
      <x:c r="A117" s="25" t="str">
        <x:v>TEAM-013</x:v>
      </x:c>
      <x:c r="B117" s="25" t="str">
        <x:v>团队与权限</x:v>
      </x:c>
      <x:c r="C117" s="25" t="str">
        <x:v>待实操</x:v>
      </x:c>
      <x:c r="D117" s="25" t="str">
        <x:v>P0</x:v>
      </x:c>
      <x:c r="E117" s="24" t="str">
        <x:v>普通成员</x:v>
      </x:c>
      <x:c r="F117" s="24" t="str">
        <x:v>当前客户端</x:v>
      </x:c>
      <x:c r="G117" s="24" t="str">
        <x:v>店铺设备/IP</x:v>
      </x:c>
      <x:c r="H117" s="24" t="str">
        <x:v>有功能权但缺店铺、附加账号或 OTP 授权</x:v>
      </x:c>
      <x:c r="I117" s="24" t="str">
        <x:v>各访问 3 次</x:v>
      </x:c>
      <x:c r="J117" s="24" t="str">
        <x:v>无权对象不可选；代填禁用</x:v>
      </x:c>
      <x:c r="K117" s="24" t="str">
        <x:v>你拥有该功能权限，但未获得当前店铺或凭证对象授权，请联系管理员。</x:v>
      </x:c>
      <x:c r="L117" s="24" t="str">
        <x:v>权限弹窗</x:v>
      </x:c>
      <x:c r="M117" s="24" t="str">
        <x:v>待实操；期望最终权限为角色、部门、对象和凭证授权交集</x:v>
      </x:c>
      <x:c r="N117" s="24" t="str">
        <x:v>权限缓存最长 30s</x:v>
      </x:c>
      <x:c r="O117" s="24" t="str">
        <x:v>各层判定与拒绝原因</x:v>
      </x:c>
      <x:c r="P117" s="24" t="str">
        <x:v>管理员补齐授权</x:v>
      </x:c>
      <x:c r="Q117" s="24" t="str">
        <x:v>待补 TEAM-013</x:v>
      </x:c>
      <x:c r="R117" s="24" t="str"/>
    </x:row>
    <x:row r="118" ht="68" customHeight="1">
      <x:c r="A118" s="25" t="str">
        <x:v>TEAM-014</x:v>
      </x:c>
      <x:c r="B118" s="25" t="str">
        <x:v>团队与权限</x:v>
      </x:c>
      <x:c r="C118" s="25" t="str">
        <x:v>待实操</x:v>
      </x:c>
      <x:c r="D118" s="25" t="str">
        <x:v>P0</x:v>
      </x:c>
      <x:c r="E118" s="24" t="str">
        <x:v>受限成员/审批人</x:v>
      </x:c>
      <x:c r="F118" s="24" t="str">
        <x:v>当前客户端</x:v>
      </x:c>
      <x:c r="G118" s="24" t="str">
        <x:v>新终端/异地 IP/受限时段</x:v>
      </x:c>
      <x:c r="H118" s="24" t="str">
        <x:v>命中登录限制</x:v>
      </x:c>
      <x:c r="I118" s="24" t="str">
        <x:v>重复申请 5 次、2 人同时审核</x:v>
      </x:c>
      <x:c r="J118" s="24" t="str">
        <x:v>申请中禁用；一个审核后其他按钮失效</x:v>
      </x:c>
      <x:c r="K118" s="24" t="str">
        <x:v>本次登录需要审核。申请有效期 30 分钟；拒绝后需等待 5 分钟才能重新提交。</x:v>
      </x:c>
      <x:c r="L118" s="24" t="str">
        <x:v>审批弹窗</x:v>
      </x:c>
      <x:c r="M118" s="24" t="str">
        <x:v>待实操；期望单申请只有一个最终结果，临时通过不永久改策略</x:v>
      </x:c>
      <x:c r="N118" s="24" t="str">
        <x:v>重提 5分钟；30分钟过期</x:v>
      </x:c>
      <x:c r="O118" s="24" t="str">
        <x:v>登录条件、理由、审批人；站内信和短信</x:v>
      </x:c>
      <x:c r="P118" s="24" t="str">
        <x:v>重新申请、修改限制或换合规环境</x:v>
      </x:c>
      <x:c r="Q118" s="24" t="str">
        <x:v>待补 TEAM-014</x:v>
      </x:c>
      <x:c r="R118" s="24" t="str"/>
    </x:row>
    <x:row r="119" ht="68" customHeight="1">
      <x:c r="A119" s="25" t="str">
        <x:v>SEC-001</x:v>
      </x:c>
      <x:c r="B119" s="25" t="str">
        <x:v>安全与监控</x:v>
      </x:c>
      <x:c r="C119" s="25" t="str">
        <x:v>待实操</x:v>
      </x:c>
      <x:c r="D119" s="25" t="str">
        <x:v>P0</x:v>
      </x:c>
      <x:c r="E119" s="24" t="str">
        <x:v>两名安全管理员</x:v>
      </x:c>
      <x:c r="F119" s="24" t="str">
        <x:v>当前客户端</x:v>
      </x:c>
      <x:c r="G119" s="24" t="str">
        <x:v>两台设备/IP</x:v>
      </x:c>
      <x:c r="H119" s="24" t="str">
        <x:v>同时编辑同一策略</x:v>
      </x:c>
      <x:c r="I119" s="24" t="str">
        <x:v>并发保存 2</x:v>
      </x:c>
      <x:c r="J119" s="24" t="str">
        <x:v>后保存者变为重新加载</x:v>
      </x:c>
      <x:c r="K119" s="24" t="str">
        <x:v>策略已由其他管理员更新。为避免覆盖，请重新加载最新版本后再保存。</x:v>
      </x:c>
      <x:c r="L119" s="24" t="str">
        <x:v>冲突弹窗</x:v>
      </x:c>
      <x:c r="M119" s="24" t="str">
        <x:v>待实操；期望乐观锁阻止静默覆盖</x:v>
      </x:c>
      <x:c r="N119" s="24" t="str">
        <x:v>1s</x:v>
      </x:c>
      <x:c r="O119" s="24" t="str">
        <x:v>策略版本、差异、操作者</x:v>
      </x:c>
      <x:c r="P119" s="24" t="str">
        <x:v>重载、合并后保存</x:v>
      </x:c>
      <x:c r="Q119" s="24" t="str">
        <x:v>待补 SEC-001</x:v>
      </x:c>
      <x:c r="R119" s="24" t="str"/>
    </x:row>
    <x:row r="120" ht="68" customHeight="1">
      <x:c r="A120" s="25" t="str">
        <x:v>SEC-002</x:v>
      </x:c>
      <x:c r="B120" s="25" t="str">
        <x:v>安全与监控</x:v>
      </x:c>
      <x:c r="C120" s="25" t="str">
        <x:v>待实操</x:v>
      </x:c>
      <x:c r="D120" s="25" t="str">
        <x:v>P0</x:v>
      </x:c>
      <x:c r="E120" s="24" t="str">
        <x:v>受控成员</x:v>
      </x:c>
      <x:c r="F120" s="24" t="str">
        <x:v>当前客户端</x:v>
      </x:c>
      <x:c r="G120" s="24" t="str">
        <x:v>店铺设备/IP</x:v>
      </x:c>
      <x:c r="H120" s="24" t="str">
        <x:v>禁止看密码、F12、打印策略开启</x:v>
      </x:c>
      <x:c r="I120" s="24" t="str">
        <x:v>快捷键、菜单、打印 PDF 各 5 次</x:v>
      </x:c>
      <x:c r="J120" s="24" t="str">
        <x:v>受控入口不可用且不短暂闪现</x:v>
      </x:c>
      <x:c r="K120" s="24" t="str">
        <x:v>团队安全策略已禁止查看密码、开发者工具或打印。如需使用，请联系管理员。</x:v>
      </x:c>
      <x:c r="L120" s="24" t="str">
        <x:v>策略提示</x:v>
      </x:c>
      <x:c r="M120" s="24" t="str">
        <x:v>待实操；期望多入口一致执行，不宣称能防拍屏等物理旁路</x:v>
      </x:c>
      <x:c r="N120" s="24" t="str">
        <x:v>同类提示 30s 一次</x:v>
      </x:c>
      <x:c r="O120" s="24" t="str">
        <x:v>策略命中、入口、店铺、成员</x:v>
      </x:c>
      <x:c r="P120" s="24" t="str">
        <x:v>管理员调整策略</x:v>
      </x:c>
      <x:c r="Q120" s="24" t="str">
        <x:v>待补 SEC-002</x:v>
      </x:c>
      <x:c r="R120" s="24" t="str"/>
    </x:row>
    <x:row r="121" ht="68" customHeight="1">
      <x:c r="A121" s="25" t="str">
        <x:v>SEC-003</x:v>
      </x:c>
      <x:c r="B121" s="25" t="str">
        <x:v>安全与监控</x:v>
      </x:c>
      <x:c r="C121" s="25" t="str">
        <x:v>待实操</x:v>
      </x:c>
      <x:c r="D121" s="25" t="str">
        <x:v>P1</x:v>
      </x:c>
      <x:c r="E121" s="24" t="str">
        <x:v>安全管理员</x:v>
      </x:c>
      <x:c r="F121" s="24" t="str">
        <x:v>当前客户端</x:v>
      </x:c>
      <x:c r="G121" s="24" t="str">
        <x:v>当前设备/IP</x:v>
      </x:c>
      <x:c r="H121" s="24" t="str">
        <x:v>成员未绑手机或自定义水印过长</x:v>
      </x:c>
      <x:c r="I121" s="24" t="str">
        <x:v>每类 3 次</x:v>
      </x:c>
      <x:c r="J121" s="24" t="str">
        <x:v>无有效水印内容时保存禁用</x:v>
      </x:c>
      <x:c r="K121" s="24" t="str">
        <x:v>部分成员未绑定手机号码，手机号后 6 位将显示为“未绑定”。自定义水印最多 30 个字符。</x:v>
      </x:c>
      <x:c r="L121" s="24" t="str">
        <x:v>配置提示</x:v>
      </x:c>
      <x:c r="M121" s="24" t="str">
        <x:v>待实操；期望预览和实际一致，不泄露完整号码</x:v>
      </x:c>
      <x:c r="N121" s="24" t="str">
        <x:v>500ms</x:v>
      </x:c>
      <x:c r="O121" s="24" t="str">
        <x:v>水印模板版本、适用范围</x:v>
      </x:c>
      <x:c r="P121" s="24" t="str">
        <x:v>修改内容或补绑手机</x:v>
      </x:c>
      <x:c r="Q121" s="24" t="str">
        <x:v>待补 SEC-003</x:v>
      </x:c>
      <x:c r="R121" s="24" t="str"/>
    </x:row>
    <x:row r="122" ht="68" customHeight="1">
      <x:c r="A122" s="25" t="str">
        <x:v>SEC-004</x:v>
      </x:c>
      <x:c r="B122" s="25" t="str">
        <x:v>安全与监控</x:v>
      </x:c>
      <x:c r="C122" s="25" t="str">
        <x:v>待实操</x:v>
      </x:c>
      <x:c r="D122" s="25" t="str">
        <x:v>P0</x:v>
      </x:c>
      <x:c r="E122" s="24" t="str">
        <x:v>受控成员</x:v>
      </x:c>
      <x:c r="F122" s="24" t="str">
        <x:v>当前客户端</x:v>
      </x:c>
      <x:c r="G122" s="24" t="str">
        <x:v>店铺设备/IP</x:v>
      </x:c>
      <x:c r="H122" s="24" t="str">
        <x:v>命中 URL 黑名单</x:v>
      </x:c>
      <x:c r="I122" s="24" t="str">
        <x:v>直接 URL、重定向、新窗口各 3 次</x:v>
      </x:c>
      <x:c r="J122" s="24" t="str">
        <x:v>页面不加载业务内容，只显示返回</x:v>
      </x:c>
      <x:c r="K122" s="24" t="str">
        <x:v>暂无此网页访问权限。策略：{策略名称}。如有业务需要，请联系团队管理员。</x:v>
      </x:c>
      <x:c r="L122" s="24" t="str">
        <x:v>拦截页</x:v>
      </x:c>
      <x:c r="M122" s="24" t="str">
        <x:v>待实操；期望请求前阻断，不先渲染敏感页面</x:v>
      </x:c>
      <x:c r="N122" s="24" t="str">
        <x:v>同 URL 提示 10s</x:v>
      </x:c>
      <x:c r="O122" s="24" t="str">
        <x:v>URL 脱敏、策略 ID、店铺、成员</x:v>
      </x:c>
      <x:c r="P122" s="24" t="str">
        <x:v>返回允许页面或申请调整</x:v>
      </x:c>
      <x:c r="Q122" s="24" t="str">
        <x:v>待补 SEC-004</x:v>
      </x:c>
      <x:c r="R122" s="24" t="str"/>
    </x:row>
    <x:row r="123" ht="68" customHeight="1">
      <x:c r="A123" s="25" t="str">
        <x:v>SEC-005</x:v>
      </x:c>
      <x:c r="B123" s="25" t="str">
        <x:v>安全与监控</x:v>
      </x:c>
      <x:c r="C123" s="25" t="str">
        <x:v>待实操</x:v>
      </x:c>
      <x:c r="D123" s="25" t="str">
        <x:v>P0</x:v>
      </x:c>
      <x:c r="E123" s="24" t="str">
        <x:v>安全管理员/成员</x:v>
      </x:c>
      <x:c r="F123" s="24" t="str">
        <x:v>当前客户端</x:v>
      </x:c>
      <x:c r="G123" s="24" t="str">
        <x:v>店铺设备/IP</x:v>
      </x:c>
      <x:c r="H123" s="24" t="str">
        <x:v>页面元素策略遇第三方 DOM/语言变化</x:v>
      </x:c>
      <x:c r="I123" s="24" t="str">
        <x:v>3 种页面版本各测</x:v>
      </x:c>
      <x:c r="J123" s="24" t="str">
        <x:v>规则失效时敏感操作默认禁用</x:v>
      </x:c>
      <x:c r="K123" s="24" t="str">
        <x:v>安全规则与当前页面版本不匹配，相关敏感操作已暂时禁用。管理员已收到告警。</x:v>
      </x:c>
      <x:c r="L123" s="24" t="str">
        <x:v>安全降级弹窗</x:v>
      </x:c>
      <x:c r="M123" s="24" t="str">
        <x:v>待实操；期望检测选择器失效，不能静默放行</x:v>
      </x:c>
      <x:c r="N123" s="24" t="str">
        <x:v>同规则告警 1小时一次</x:v>
      </x:c>
      <x:c r="O123" s="24" t="str">
        <x:v>模板版本、DOM 指纹、失效元素；安全通知</x:v>
      </x:c>
      <x:c r="P123" s="24" t="str">
        <x:v>更新模板并人工验证</x:v>
      </x:c>
      <x:c r="Q123" s="24" t="str">
        <x:v>待补 SEC-005</x:v>
      </x:c>
      <x:c r="R123" s="24" t="str"/>
    </x:row>
    <x:row r="124" ht="68" customHeight="1">
      <x:c r="A124" s="25" t="str">
        <x:v>SEC-006</x:v>
      </x:c>
      <x:c r="B124" s="25" t="str">
        <x:v>安全与监控</x:v>
      </x:c>
      <x:c r="C124" s="25" t="str">
        <x:v>待实操</x:v>
      </x:c>
      <x:c r="D124" s="25" t="str">
        <x:v>P0</x:v>
      </x:c>
      <x:c r="E124" s="24" t="str">
        <x:v>安全管理员</x:v>
      </x:c>
      <x:c r="F124" s="24" t="str">
        <x:v>当前客户端</x:v>
      </x:c>
      <x:c r="G124" s="24" t="str">
        <x:v>店铺设备/IP</x:v>
      </x:c>
      <x:c r="H124" s="24" t="str">
        <x:v>多策略覆盖同一对象</x:v>
      </x:c>
      <x:c r="I124" s="24" t="str">
        <x:v>3 条冲突策略命中</x:v>
      </x:c>
      <x:c r="J124" s="24" t="str">
        <x:v>保存时展示冲突；运行时更严格优先</x:v>
      </x:c>
      <x:c r="K124" s="24" t="str">
        <x:v>检测到策略冲突：“允许访问”与“禁止访问”同时命中，系统将按禁止优先执行。</x:v>
      </x:c>
      <x:c r="L124" s="24" t="str">
        <x:v>冲突提示</x:v>
      </x:c>
      <x:c r="M124" s="24" t="str">
        <x:v>待实操；期望优先级可解释且结果确定</x:v>
      </x:c>
      <x:c r="N124" s="24" t="str">
        <x:v>500ms</x:v>
      </x:c>
      <x:c r="O124" s="24" t="str">
        <x:v>命中策略链和最终决策</x:v>
      </x:c>
      <x:c r="P124" s="24" t="str">
        <x:v>调整范围或停用冲突策略</x:v>
      </x:c>
      <x:c r="Q124" s="24" t="str">
        <x:v>待补 SEC-006</x:v>
      </x:c>
      <x:c r="R124" s="24" t="str"/>
    </x:row>
    <x:row r="125" ht="68" customHeight="1">
      <x:c r="A125" s="25" t="str">
        <x:v>SEC-007</x:v>
      </x:c>
      <x:c r="B125" s="25" t="str">
        <x:v>安全与监控</x:v>
      </x:c>
      <x:c r="C125" s="25" t="str">
        <x:v>待实操</x:v>
      </x:c>
      <x:c r="D125" s="25" t="str">
        <x:v>P0</x:v>
      </x:c>
      <x:c r="E125" s="24" t="str">
        <x:v>监控管理员</x:v>
      </x:c>
      <x:c r="F125" s="24" t="str">
        <x:v>当前客户端</x:v>
      </x:c>
      <x:c r="G125" s="24" t="str">
        <x:v>多店铺设备/IP</x:v>
      </x:c>
      <x:c r="H125" s="24" t="str">
        <x:v>批量选择店铺和成员</x:v>
      </x:c>
      <x:c r="I125" s="24" t="str">
        <x:v>1000 店铺、多人并发开启</x:v>
      </x:c>
      <x:c r="J125" s="24" t="str">
        <x:v>计算容量和权限前提交禁用</x:v>
      </x:c>
      <x:c r="K125" s="24" t="str">
        <x:v>将为 {n} 家有权限店铺开启监控；{m} 家无配置权限已排除。预计新增存储约 {x} GB/月。确认开启？</x:v>
      </x:c>
      <x:c r="L125" s="24" t="str">
        <x:v>高风险确认弹窗</x:v>
      </x:c>
      <x:c r="M125" s="24" t="str">
        <x:v>待实操；期望只对有权对象生效，容量风险前置</x:v>
      </x:c>
      <x:c r="N125" s="24" t="str">
        <x:v>批量任务 60s 内不可重复</x:v>
      </x:c>
      <x:c r="O125" s="24" t="str">
        <x:v>配置批次、对象数、排除原因；通知成员</x:v>
      </x:c>
      <x:c r="P125" s="24" t="str">
        <x:v>取消任务或批量关闭</x:v>
      </x:c>
      <x:c r="Q125" s="24" t="str">
        <x:v>待补 SEC-007</x:v>
      </x:c>
      <x:c r="R125" s="24" t="str"/>
    </x:row>
    <x:row r="126" ht="68" customHeight="1">
      <x:c r="A126" s="25" t="str">
        <x:v>SEC-008</x:v>
      </x:c>
      <x:c r="B126" s="25" t="str">
        <x:v>安全与监控</x:v>
      </x:c>
      <x:c r="C126" s="25" t="str">
        <x:v>待实操</x:v>
      </x:c>
      <x:c r="D126" s="25" t="str">
        <x:v>P0</x:v>
      </x:c>
      <x:c r="E126" s="24" t="str">
        <x:v>受监控成员/管理员</x:v>
      </x:c>
      <x:c r="F126" s="24" t="str">
        <x:v>当前客户端</x:v>
      </x:c>
      <x:c r="G126" s="24" t="str">
        <x:v>断网/崩溃设备/IP</x:v>
      </x:c>
      <x:c r="H126" s="24" t="str">
        <x:v>录像上传中断</x:v>
      </x:c>
      <x:c r="I126" s="24" t="str">
        <x:v>上传失败、客户端崩溃、断网各 3 次</x:v>
      </x:c>
      <x:c r="J126" s="24" t="str">
        <x:v>状态显示记录异常，不可伪装正常</x:v>
      </x:c>
      <x:c r="K126" s="24" t="str">
        <x:v>监控录像中断：网络上传失败，缺失时段为 HH:mm-HH:mm。请检查客户端网络。</x:v>
      </x:c>
      <x:c r="L126" s="24" t="str">
        <x:v>监控告警</x:v>
      </x:c>
      <x:c r="M126" s="24" t="str">
        <x:v>待实操；期望缺口明确标记，不生成完整性假象</x:v>
      </x:c>
      <x:c r="N126" s="24" t="str">
        <x:v>自动重试 1/3/10分钟</x:v>
      </x:c>
      <x:c r="O126" s="24" t="str">
        <x:v>心跳、分片、缺失区间；安全告警</x:v>
      </x:c>
      <x:c r="P126" s="24" t="str">
        <x:v>网络恢复后续传；缺失片段不可恢复</x:v>
      </x:c>
      <x:c r="Q126" s="24" t="str">
        <x:v>待补 SEC-008</x:v>
      </x:c>
      <x:c r="R126" s="24" t="str"/>
    </x:row>
    <x:row r="127" ht="68" customHeight="1">
      <x:c r="A127" s="25" t="str">
        <x:v>SEC-009</x:v>
      </x:c>
      <x:c r="B127" s="25" t="str">
        <x:v>安全与监控</x:v>
      </x:c>
      <x:c r="C127" s="25" t="str">
        <x:v>待实操</x:v>
      </x:c>
      <x:c r="D127" s="25" t="str">
        <x:v>P0</x:v>
      </x:c>
      <x:c r="E127" s="24" t="str">
        <x:v>安全管理员</x:v>
      </x:c>
      <x:c r="F127" s="24" t="str">
        <x:v>当前客户端</x:v>
      </x:c>
      <x:c r="G127" s="24" t="str">
        <x:v>店铺设备/IP</x:v>
      </x:c>
      <x:c r="H127" s="24" t="str">
        <x:v>监控运行中或已有录像</x:v>
      </x:c>
      <x:c r="I127" s="24" t="str">
        <x:v>关闭、删除配置各 1 次</x:v>
      </x:c>
      <x:c r="J127" s="24" t="str">
        <x:v>二次确认；执行中禁用</x:v>
      </x:c>
      <x:c r="K127" s="24" t="str">
        <x:v>关闭监控将停止生成新录像，但不会删除保留期内的历史录像。删除配置后仍可按原权限查看历史记录。</x:v>
      </x:c>
      <x:c r="L127" s="24" t="str">
        <x:v>高风险确认弹窗</x:v>
      </x:c>
      <x:c r="M127" s="24" t="str">
        <x:v>待实操；期望配置生命周期与录像生命周期分离</x:v>
      </x:c>
      <x:c r="N127" s="24" t="str">
        <x:v>60s</x:v>
      </x:c>
      <x:c r="O127" s="24" t="str">
        <x:v>开关、删除、停止时间；通知管理员</x:v>
      </x:c>
      <x:c r="P127" s="24" t="str">
        <x:v>重新开启；历史录像按规则查看</x:v>
      </x:c>
      <x:c r="Q127" s="24" t="str">
        <x:v>待补 SEC-009</x:v>
      </x:c>
      <x:c r="R127" s="24" t="str"/>
    </x:row>
    <x:row r="128" ht="68" customHeight="1">
      <x:c r="A128" s="25" t="str">
        <x:v>SEC-010</x:v>
      </x:c>
      <x:c r="B128" s="25" t="str">
        <x:v>安全与监控</x:v>
      </x:c>
      <x:c r="C128" s="25" t="str">
        <x:v>待实操</x:v>
      </x:c>
      <x:c r="D128" s="25" t="str">
        <x:v>P0</x:v>
      </x:c>
      <x:c r="E128" s="24" t="str">
        <x:v>管理员/审计员</x:v>
      </x:c>
      <x:c r="F128" s="24" t="str">
        <x:v>当前客户端</x:v>
      </x:c>
      <x:c r="G128" s="24" t="str">
        <x:v>当前设备/IP</x:v>
      </x:c>
      <x:c r="H128" s="24" t="str">
        <x:v>查看日志和录像</x:v>
      </x:c>
      <x:c r="I128" s="24" t="str">
        <x:v>无权访问、导出、30天边界各 3 次</x:v>
      </x:c>
      <x:c r="J128" s="24" t="str">
        <x:v>无权入口隐藏；导出二次确认</x:v>
      </x:c>
      <x:c r="K128" s="24" t="str">
        <x:v>你没有查看全团队监控日志的权限。导出内容包含成员操作信息，将添加下载者水印并记录审计日志。</x:v>
      </x:c>
      <x:c r="L128" s="24" t="str">
        <x:v>权限/导出弹窗</x:v>
      </x:c>
      <x:c r="M128" s="24" t="str">
        <x:v>待实操；期望登录、操作、访问、录像分别授权，过期删除可证明</x:v>
      </x:c>
      <x:c r="N128" s="24" t="str">
        <x:v>导出 10分钟一次</x:v>
      </x:c>
      <x:c r="O128" s="24" t="str">
        <x:v>查询、播放、导出、删除证明、操作者</x:v>
      </x:c>
      <x:c r="P128" s="24" t="str">
        <x:v>申请权限；过期数据不可恢复时明确提示</x:v>
      </x:c>
      <x:c r="Q128" s="24" t="str">
        <x:v>待补 SEC-010</x:v>
      </x:c>
      <x:c r="R128" s="24" t="str"/>
    </x:row>
    <x:row r="129" ht="68" customHeight="1">
      <x:c r="A129" s="25" t="str">
        <x:v>SEC-011</x:v>
      </x:c>
      <x:c r="B129" s="25" t="str">
        <x:v>安全与监控</x:v>
      </x:c>
      <x:c r="C129" s="25" t="str">
        <x:v>待实操</x:v>
      </x:c>
      <x:c r="D129" s="25" t="str">
        <x:v>P0</x:v>
      </x:c>
      <x:c r="E129" s="24" t="str">
        <x:v>店铺所有者/客服技术人员</x:v>
      </x:c>
      <x:c r="F129" s="24" t="str">
        <x:v>当前客户端</x:v>
      </x:c>
      <x:c r="G129" s="24" t="str">
        <x:v>店铺设备/IP</x:v>
      </x:c>
      <x:c r="H129" s="24" t="str">
        <x:v>为排障临时授权店铺</x:v>
      </x:c>
      <x:c r="I129" s="24" t="str">
        <x:v>提交、续期、提前撤销各 2 次</x:v>
      </x:c>
      <x:c r="J129" s="24" t="str">
        <x:v>未选范围/时长时禁用；撤销即时可用</x:v>
      </x:c>
      <x:c r="K129" s="24" t="str">
        <x:v>技术人员可能进入所选店铺环境并接触登录态。授权仅限“{店铺}”，有效 {n} 小时，禁止修改密码、手机号码和支付信息。确认授权？</x:v>
      </x:c>
      <x:c r="L129" s="24" t="str">
        <x:v>高风险确认弹窗</x:v>
      </x:c>
      <x:c r="M129" s="24" t="str">
        <x:v>待实操；期望最小范围、最短时长、动作限制和全程留痕</x:v>
      </x:c>
      <x:c r="N129" s="24" t="str">
        <x:v>撤销后同店铺 5分钟内不可重授权</x:v>
      </x:c>
      <x:c r="O129" s="24" t="str">
        <x:v>授权人、技术人员、动作、录像、到期；双方通知</x:v>
      </x:c>
      <x:c r="P129" s="24" t="str">
        <x:v>可提前撤销；异常立即终止</x:v>
      </x:c>
      <x:c r="Q129" s="24" t="str">
        <x:v>待补 SEC-011</x:v>
      </x:c>
      <x:c r="R129" s="24" t="str"/>
    </x:row>
    <x:row r="130" ht="68" customHeight="1">
      <x:c r="A130" s="25" t="str">
        <x:v>FIN-001</x:v>
      </x:c>
      <x:c r="B130" s="25" t="str">
        <x:v>费用与支付</x:v>
      </x:c>
      <x:c r="C130" s="25" t="str">
        <x:v>待实操</x:v>
      </x:c>
      <x:c r="D130" s="25" t="str">
        <x:v>P0</x:v>
      </x:c>
      <x:c r="E130" s="24" t="str">
        <x:v>设备购买者</x:v>
      </x:c>
      <x:c r="F130" s="24" t="str">
        <x:v>当前 Windows/macOS 客户端</x:v>
      </x:c>
      <x:c r="G130" s="24" t="str">
        <x:v>平台设备/IP</x:v>
      </x:c>
      <x:c r="H130" s="24" t="str">
        <x:v>商品有货、协议已勾选</x:v>
      </x:c>
      <x:c r="I130" s="24" t="str">
        <x:v>1秒内点击购买 3 次</x:v>
      </x:c>
      <x:c r="J130" s="24" t="str">
        <x:v>首次后 Loading 并禁用</x:v>
      </x:c>
      <x:c r="K130" s="24" t="str">
        <x:v>订单正在创建，请勿重复提交。</x:v>
      </x:c>
      <x:c r="L130" s="24" t="str">
        <x:v>顶部 Toast</x:v>
      </x:c>
      <x:c r="M130" s="24" t="str">
        <x:v>待实操；期望只生成 1 个订单、只锁定 1 份库存</x:v>
      </x:c>
      <x:c r="N130" s="24" t="str">
        <x:v>请求结束或 10s</x:v>
      </x:c>
      <x:c r="O130" s="24" t="str">
        <x:v>requestId、2 次去重；无短信</x:v>
      </x:c>
      <x:c r="P130" s="24" t="str">
        <x:v>可进入唯一订单</x:v>
      </x:c>
      <x:c r="Q130" s="24" t="str">
        <x:v>待补 FIN-001</x:v>
      </x:c>
      <x:c r="R130" s="24" t="str"/>
    </x:row>
    <x:row r="131" ht="68" customHeight="1">
      <x:c r="A131" s="25" t="str">
        <x:v>FIN-002</x:v>
      </x:c>
      <x:c r="B131" s="25" t="str">
        <x:v>费用与支付</x:v>
      </x:c>
      <x:c r="C131" s="25" t="str">
        <x:v>待实操</x:v>
      </x:c>
      <x:c r="D131" s="25" t="str">
        <x:v>P0</x:v>
      </x:c>
      <x:c r="E131" s="24" t="str">
        <x:v>设备购买者</x:v>
      </x:c>
      <x:c r="F131" s="24" t="str">
        <x:v>当前客户端</x:v>
      </x:c>
      <x:c r="G131" s="24" t="str">
        <x:v>平台设备/IP</x:v>
      </x:c>
      <x:c r="H131" s="24" t="str">
        <x:v>提交前价格或库存变化</x:v>
      </x:c>
      <x:c r="I131" s="24" t="str">
        <x:v>单次提交</x:v>
      </x:c>
      <x:c r="J131" s="24" t="str">
        <x:v>购买禁用，刷新后恢复</x:v>
      </x:c>
      <x:c r="K131" s="24" t="str">
        <x:v>商品价格或库存已更新，请确认最新信息后重新提交。</x:v>
      </x:c>
      <x:c r="L131" s="24" t="str">
        <x:v>阻断弹窗</x:v>
      </x:c>
      <x:c r="M131" s="24" t="str">
        <x:v>待实操；期望不创建旧价格订单、不扣款</x:v>
      </x:c>
      <x:c r="N131" s="24" t="str">
        <x:v>刷新后立即</x:v>
      </x:c>
      <x:c r="O131" s="24" t="str">
        <x:v>旧值、新值、SKU</x:v>
      </x:c>
      <x:c r="P131" s="24" t="str">
        <x:v>确认新信息后重提</x:v>
      </x:c>
      <x:c r="Q131" s="24" t="str">
        <x:v>待补 FIN-002</x:v>
      </x:c>
      <x:c r="R131" s="24" t="str"/>
    </x:row>
    <x:row r="132" ht="68" customHeight="1">
      <x:c r="A132" s="25" t="str">
        <x:v>FIN-003</x:v>
      </x:c>
      <x:c r="B132" s="25" t="str">
        <x:v>费用与支付</x:v>
      </x:c>
      <x:c r="C132" s="25" t="str">
        <x:v>待实操</x:v>
      </x:c>
      <x:c r="D132" s="25" t="str">
        <x:v>P1</x:v>
      </x:c>
      <x:c r="E132" s="24" t="str">
        <x:v>设备购买者</x:v>
      </x:c>
      <x:c r="F132" s="24" t="str">
        <x:v>当前客户端</x:v>
      </x:c>
      <x:c r="G132" s="24" t="str">
        <x:v>当前终端/IP</x:v>
      </x:c>
      <x:c r="H132" s="24" t="str">
        <x:v>微信/支付宝二维码已生成</x:v>
      </x:c>
      <x:c r="I132" s="24" t="str">
        <x:v>等待过期后支付</x:v>
      </x:c>
      <x:c r="J132" s="24" t="str">
        <x:v>按钮改为刷新二维码</x:v>
      </x:c>
      <x:c r="K132" s="24" t="str">
        <x:v>支付二维码已过期，请刷新后重新支付。</x:v>
      </x:c>
      <x:c r="L132" s="24" t="str">
        <x:v>支付区提示</x:v>
      </x:c>
      <x:c r="M132" s="24" t="str">
        <x:v>待实操；期望原订单保持待支付，不重复建单</x:v>
      </x:c>
      <x:c r="N132" s="24" t="str">
        <x:v>刷新 2s 防抖</x:v>
      </x:c>
      <x:c r="O132" s="24" t="str">
        <x:v>二维码过期；无短信</x:v>
      </x:c>
      <x:c r="P132" s="24" t="str">
        <x:v>刷新二维码</x:v>
      </x:c>
      <x:c r="Q132" s="24" t="str">
        <x:v>待补 FIN-003</x:v>
      </x:c>
      <x:c r="R132" s="24" t="str"/>
    </x:row>
    <x:row r="133" ht="68" customHeight="1">
      <x:c r="A133" s="25" t="str">
        <x:v>FIN-004</x:v>
      </x:c>
      <x:c r="B133" s="25" t="str">
        <x:v>费用与支付</x:v>
      </x:c>
      <x:c r="C133" s="25" t="str">
        <x:v>待实操</x:v>
      </x:c>
      <x:c r="D133" s="25" t="str">
        <x:v>P0</x:v>
      </x:c>
      <x:c r="E133" s="24" t="str">
        <x:v>财务/购买者</x:v>
      </x:c>
      <x:c r="F133" s="24" t="str">
        <x:v>当前客户端</x:v>
      </x:c>
      <x:c r="G133" s="24" t="str">
        <x:v>当前终端/IP</x:v>
      </x:c>
      <x:c r="H133" s="24" t="str">
        <x:v>第三方已扣款但平台回调延迟</x:v>
      </x:c>
      <x:c r="I133" s="24" t="str">
        <x:v>刷新页面 5 次</x:v>
      </x:c>
      <x:c r="J133" s="24" t="str">
        <x:v>支付禁用，显示确认中</x:v>
      </x:c>
      <x:c r="K133" s="24" t="str">
        <x:v>支付结果确认中，请勿重复支付。可稍后在订单详情查看。</x:v>
      </x:c>
      <x:c r="L133" s="24" t="str">
        <x:v>状态弹窗</x:v>
      </x:c>
      <x:c r="M133" s="24" t="str">
        <x:v>待实操；期望只入账一次，成功后进入交付</x:v>
      </x:c>
      <x:c r="N133" s="24" t="str">
        <x:v>5s 轮询，最多 2分钟</x:v>
      </x:c>
      <x:c r="O133" s="24" t="str">
        <x:v>订单、余额流水；成功只发 1 条通知</x:v>
      </x:c>
      <x:c r="P133" s="24" t="str">
        <x:v>自动或人工对账</x:v>
      </x:c>
      <x:c r="Q133" s="24" t="str">
        <x:v>待补 FIN-004</x:v>
      </x:c>
      <x:c r="R133" s="24" t="str"/>
    </x:row>
    <x:row r="134" ht="68" customHeight="1">
      <x:c r="A134" s="25" t="str">
        <x:v>FIN-005</x:v>
      </x:c>
      <x:c r="B134" s="25" t="str">
        <x:v>费用与支付</x:v>
      </x:c>
      <x:c r="C134" s="25" t="str">
        <x:v>待实操</x:v>
      </x:c>
      <x:c r="D134" s="25" t="str">
        <x:v>P0</x:v>
      </x:c>
      <x:c r="E134" s="24" t="str">
        <x:v>购买者</x:v>
      </x:c>
      <x:c r="F134" s="24" t="str">
        <x:v>当前客户端</x:v>
      </x:c>
      <x:c r="G134" s="24" t="str">
        <x:v>平台设备/IP</x:v>
      </x:c>
      <x:c r="H134" s="24" t="str">
        <x:v>余额小于订单金额</x:v>
      </x:c>
      <x:c r="I134" s="24" t="str">
        <x:v>余额支付 1 次</x:v>
      </x:c>
      <x:c r="J134" s="24" t="str">
        <x:v>校验后停止 Loading</x:v>
      </x:c>
      <x:c r="K134" s="24" t="str">
        <x:v>团队余额不足，还差 ¥{差额}。请先充值或更换支付方式。</x:v>
      </x:c>
      <x:c r="L134" s="24" t="str">
        <x:v>余额不足弹窗</x:v>
      </x:c>
      <x:c r="M134" s="24" t="str">
        <x:v>待实操；期望不扣余额、不改变库存归属</x:v>
      </x:c>
      <x:c r="N134" s="24" t="str">
        <x:v>无</x:v>
      </x:c>
      <x:c r="O134" s="24" t="str">
        <x:v>失败原因；无短信</x:v>
      </x:c>
      <x:c r="P134" s="24" t="str">
        <x:v>充值或换渠道</x:v>
      </x:c>
      <x:c r="Q134" s="24" t="str">
        <x:v>待补 FIN-005</x:v>
      </x:c>
      <x:c r="R134" s="24" t="str"/>
    </x:row>
    <x:row r="135" ht="68" customHeight="1">
      <x:c r="A135" s="25" t="str">
        <x:v>FIN-006</x:v>
      </x:c>
      <x:c r="B135" s="25" t="str">
        <x:v>费用与支付</x:v>
      </x:c>
      <x:c r="C135" s="25" t="str">
        <x:v>待实操</x:v>
      </x:c>
      <x:c r="D135" s="25" t="str">
        <x:v>P0</x:v>
      </x:c>
      <x:c r="E135" s="24" t="str">
        <x:v>两名购买者</x:v>
      </x:c>
      <x:c r="F135" s="24" t="str">
        <x:v>当前客户端</x:v>
      </x:c>
      <x:c r="G135" s="24" t="str">
        <x:v>两台终端/同团队</x:v>
      </x:c>
      <x:c r="H135" s="24" t="str">
        <x:v>余额只够 1 笔订单</x:v>
      </x:c>
      <x:c r="I135" s="24" t="str">
        <x:v>两终端同时支付</x:v>
      </x:c>
      <x:c r="J135" s="24" t="str">
        <x:v>两端先 Loading，仅一端成功</x:v>
      </x:c>
      <x:c r="K135" s="24" t="str">
        <x:v>余额已发生变化，当前可用余额不足，本次支付未完成。</x:v>
      </x:c>
      <x:c r="L135" s="24" t="str">
        <x:v>失败端弹窗</x:v>
      </x:c>
      <x:c r="M135" s="24" t="str">
        <x:v>待实操；期望原子扣款，余额不为负</x:v>
      </x:c>
      <x:c r="N135" s="24" t="str">
        <x:v>无</x:v>
      </x:c>
      <x:c r="O135" s="24" t="str">
        <x:v>两笔 requestId、最终余额；成功端通知</x:v>
      </x:c>
      <x:c r="P135" s="24" t="str">
        <x:v>失败端充值后重试</x:v>
      </x:c>
      <x:c r="Q135" s="24" t="str">
        <x:v>待补 FIN-006</x:v>
      </x:c>
      <x:c r="R135" s="24" t="str"/>
    </x:row>
    <x:row r="136" ht="68" customHeight="1">
      <x:c r="A136" s="25" t="str">
        <x:v>FIN-007</x:v>
      </x:c>
      <x:c r="B136" s="25" t="str">
        <x:v>费用与支付</x:v>
      </x:c>
      <x:c r="C136" s="25" t="str">
        <x:v>待实操</x:v>
      </x:c>
      <x:c r="D136" s="25" t="str">
        <x:v>P1</x:v>
      </x:c>
      <x:c r="E136" s="24" t="str">
        <x:v>财务</x:v>
      </x:c>
      <x:c r="F136" s="24" t="str">
        <x:v>当前客户端</x:v>
      </x:c>
      <x:c r="G136" s="24" t="str">
        <x:v>当前终端/IP</x:v>
      </x:c>
      <x:c r="H136" s="24" t="str">
        <x:v>进入账户充值</x:v>
      </x:c>
      <x:c r="I136" s="24" t="str">
        <x:v>输入 0、负数、字母、3位小数</x:v>
      </x:c>
      <x:c r="J136" s="24" t="str">
        <x:v>非法值时充值禁用</x:v>
      </x:c>
      <x:c r="K136" s="24" t="str">
        <x:v>请输入有效充值金额，金额需大于 0 且最多保留两位小数。</x:v>
      </x:c>
      <x:c r="L136" s="24" t="str">
        <x:v>字段提示</x:v>
      </x:c>
      <x:c r="M136" s="24" t="str">
        <x:v>待实操；期望不生成充值订单</x:v>
      </x:c>
      <x:c r="N136" s="24" t="str">
        <x:v>合法后立即恢复</x:v>
      </x:c>
      <x:c r="O136" s="24" t="str">
        <x:v>只记最终合法提交</x:v>
      </x:c>
      <x:c r="P136" s="24" t="str">
        <x:v>修改金额</x:v>
      </x:c>
      <x:c r="Q136" s="24" t="str">
        <x:v>待补 FIN-007</x:v>
      </x:c>
      <x:c r="R136" s="24" t="str"/>
    </x:row>
    <x:row r="137" ht="68" customHeight="1">
      <x:c r="A137" s="25" t="str">
        <x:v>FIN-008</x:v>
      </x:c>
      <x:c r="B137" s="25" t="str">
        <x:v>费用与支付</x:v>
      </x:c>
      <x:c r="C137" s="25" t="str">
        <x:v>待实操</x:v>
      </x:c>
      <x:c r="D137" s="25" t="str">
        <x:v>P0</x:v>
      </x:c>
      <x:c r="E137" s="24" t="str">
        <x:v>财务</x:v>
      </x:c>
      <x:c r="F137" s="24" t="str">
        <x:v>当前客户端</x:v>
      </x:c>
      <x:c r="G137" s="24" t="str">
        <x:v>当前终端/IP</x:v>
      </x:c>
      <x:c r="H137" s="24" t="str">
        <x:v>充值成功但渠道重复回调</x:v>
      </x:c>
      <x:c r="I137" s="24" t="str">
        <x:v>同一交易回调 3 次</x:v>
      </x:c>
      <x:c r="J137" s="24" t="str">
        <x:v>显示到账确认中</x:v>
      </x:c>
      <x:c r="K137" s="24" t="str">
        <x:v>充值已受理，到账确认中，请勿重复支付。</x:v>
      </x:c>
      <x:c r="L137" s="24" t="str">
        <x:v>Toast/余额状态</x:v>
      </x:c>
      <x:c r="M137" s="24" t="str">
        <x:v>待实操；期望余额只增加一次，只有一条有效流水</x:v>
      </x:c>
      <x:c r="N137" s="24" t="str">
        <x:v>轮询 5s，最多 2分钟</x:v>
      </x:c>
      <x:c r="O137" s="24" t="str">
        <x:v>回调去重；到账仅通知 1 次</x:v>
      </x:c>
      <x:c r="P137" s="24" t="str">
        <x:v>自动或人工对账</x:v>
      </x:c>
      <x:c r="Q137" s="24" t="str">
        <x:v>待补 FIN-008</x:v>
      </x:c>
      <x:c r="R137" s="24" t="str"/>
    </x:row>
    <x:row r="138" ht="68" customHeight="1">
      <x:c r="A138" s="25" t="str">
        <x:v>FIN-009</x:v>
      </x:c>
      <x:c r="B138" s="25" t="str">
        <x:v>费用与支付</x:v>
      </x:c>
      <x:c r="C138" s="25" t="str">
        <x:v>待实操</x:v>
      </x:c>
      <x:c r="D138" s="25" t="str">
        <x:v>P1</x:v>
      </x:c>
      <x:c r="E138" s="24" t="str">
        <x:v>财务</x:v>
      </x:c>
      <x:c r="F138" s="24" t="str">
        <x:v>当前客户端</x:v>
      </x:c>
      <x:c r="G138" s="24" t="str">
        <x:v>当前终端/IP</x:v>
      </x:c>
      <x:c r="H138" s="24" t="str">
        <x:v>已提交对公汇款信息</x:v>
      </x:c>
      <x:c r="I138" s="24" t="str">
        <x:v>连击我已汇款2次</x:v>
      </x:c>
      <x:c r="J138" s="24" t="str">
        <x:v>首次后禁用</x:v>
      </x:c>
      <x:c r="K138" s="24" t="str">
        <x:v>该汇款信息已提交，请勿重复提交。如需更正，请联系财务客服。</x:v>
      </x:c>
      <x:c r="L138" s="24" t="str">
        <x:v>成功弹窗</x:v>
      </x:c>
      <x:c r="M138" s="24" t="str">
        <x:v>待实操；期望只生成 1 条待审核记录</x:v>
      </x:c>
      <x:c r="N138" s="24" t="str">
        <x:v>审核完成前锁定</x:v>
      </x:c>
      <x:c r="O138" s="24" t="str">
        <x:v>金额、备注、提交人；站内信</x:v>
      </x:c>
      <x:c r="P138" s="24" t="str">
        <x:v>由客服退回修改</x:v>
      </x:c>
      <x:c r="Q138" s="24" t="str">
        <x:v>待补 FIN-009</x:v>
      </x:c>
      <x:c r="R138" s="24" t="str"/>
    </x:row>
    <x:row r="139" ht="68" customHeight="1">
      <x:c r="A139" s="25" t="str">
        <x:v>FIN-010</x:v>
      </x:c>
      <x:c r="B139" s="25" t="str">
        <x:v>费用与支付</x:v>
      </x:c>
      <x:c r="C139" s="25" t="str">
        <x:v>待实操</x:v>
      </x:c>
      <x:c r="D139" s="25" t="str">
        <x:v>P1</x:v>
      </x:c>
      <x:c r="E139" s="24" t="str">
        <x:v>购买者</x:v>
      </x:c>
      <x:c r="F139" s="24" t="str">
        <x:v>当前客户端</x:v>
      </x:c>
      <x:c r="G139" s="24" t="str">
        <x:v>平台设备/IP</x:v>
      </x:c>
      <x:c r="H139" s="24" t="str">
        <x:v>待支付订单超时</x:v>
      </x:c>
      <x:c r="I139" s="24" t="str">
        <x:v>点击旧订单继续支付</x:v>
      </x:c>
      <x:c r="J139" s="24" t="str">
        <x:v>旧支付禁用，提供重新下单</x:v>
      </x:c>
      <x:c r="K139" s="24" t="str">
        <x:v>订单已超时关闭，未发生扣款。请重新创建订单。</x:v>
      </x:c>
      <x:c r="L139" s="24" t="str">
        <x:v>阻断弹窗</x:v>
      </x:c>
      <x:c r="M139" s="24" t="str">
        <x:v>待实操；期望旧单关闭，新单重新校验库存和价格</x:v>
      </x:c>
      <x:c r="N139" s="24" t="str">
        <x:v>无</x:v>
      </x:c>
      <x:c r="O139" s="24" t="str">
        <x:v>关闭原因；无短信</x:v>
      </x:c>
      <x:c r="P139" s="24" t="str">
        <x:v>重新下单</x:v>
      </x:c>
      <x:c r="Q139" s="24" t="str">
        <x:v>待补 FIN-010</x:v>
      </x:c>
      <x:c r="R139" s="24" t="str"/>
    </x:row>
    <x:row r="140" ht="68" customHeight="1">
      <x:c r="A140" s="25" t="str">
        <x:v>FIN-011</x:v>
      </x:c>
      <x:c r="B140" s="25" t="str">
        <x:v>费用与支付</x:v>
      </x:c>
      <x:c r="C140" s="25" t="str">
        <x:v>待实操</x:v>
      </x:c>
      <x:c r="D140" s="25" t="str">
        <x:v>P0</x:v>
      </x:c>
      <x:c r="E140" s="24" t="str">
        <x:v>购买者</x:v>
      </x:c>
      <x:c r="F140" s="24" t="str">
        <x:v>当前客户端</x:v>
      </x:c>
      <x:c r="G140" s="24" t="str">
        <x:v>平台设备/IP</x:v>
      </x:c>
      <x:c r="H140" s="24" t="str">
        <x:v>优惠券提交瞬间过期</x:v>
      </x:c>
      <x:c r="I140" s="24" t="str">
        <x:v>单次提交</x:v>
      </x:c>
      <x:c r="J140" s="24" t="str">
        <x:v>停止 Loading，券取消选中</x:v>
      </x:c>
      <x:c r="K140" s="24" t="str">
        <x:v>优惠券已失效，请重新选择优惠券或按当前价格支付。</x:v>
      </x:c>
      <x:c r="L140" s="24" t="str">
        <x:v>弹窗</x:v>
      </x:c>
      <x:c r="M140" s="24" t="str">
        <x:v>待实操；期望不按过期券金额扣款</x:v>
      </x:c>
      <x:c r="N140" s="24" t="str">
        <x:v>无</x:v>
      </x:c>
      <x:c r="O140" s="24" t="str">
        <x:v>券 ID、失效原因</x:v>
      </x:c>
      <x:c r="P140" s="24" t="str">
        <x:v>换券或原价支付</x:v>
      </x:c>
      <x:c r="Q140" s="24" t="str">
        <x:v>待补 FIN-011</x:v>
      </x:c>
      <x:c r="R140" s="24" t="str"/>
    </x:row>
    <x:row r="141" ht="68" customHeight="1">
      <x:c r="A141" s="25" t="str">
        <x:v>FIN-012</x:v>
      </x:c>
      <x:c r="B141" s="25" t="str">
        <x:v>费用与支付</x:v>
      </x:c>
      <x:c r="C141" s="25" t="str">
        <x:v>待实操</x:v>
      </x:c>
      <x:c r="D141" s="25" t="str">
        <x:v>P1</x:v>
      </x:c>
      <x:c r="E141" s="24" t="str">
        <x:v>购买者</x:v>
      </x:c>
      <x:c r="F141" s="24" t="str">
        <x:v>当前客户端</x:v>
      </x:c>
      <x:c r="G141" s="24" t="str">
        <x:v>平台设备/IP</x:v>
      </x:c>
      <x:c r="H141" s="24" t="str">
        <x:v>券不满足 SKU/金额/时长</x:v>
      </x:c>
      <x:c r="I141" s="24" t="str">
        <x:v>逐一选择不兼容券</x:v>
      </x:c>
      <x:c r="J141" s="24" t="str">
        <x:v>不兼容券不可确认</x:v>
      </x:c>
      <x:c r="K141" s="24" t="str">
        <x:v>该优惠券不满足使用条件：{具体原因}。</x:v>
      </x:c>
      <x:c r="L141" s="24" t="str">
        <x:v>券列表行内提示</x:v>
      </x:c>
      <x:c r="M141" s="24" t="str">
        <x:v>待实操；期望订单金额不被错误修改</x:v>
      </x:c>
      <x:c r="N141" s="24" t="str">
        <x:v>无</x:v>
      </x:c>
      <x:c r="O141" s="24" t="str">
        <x:v>券校验失败</x:v>
      </x:c>
      <x:c r="P141" s="24" t="str">
        <x:v>选择兼容券</x:v>
      </x:c>
      <x:c r="Q141" s="24" t="str">
        <x:v>待补 FIN-012</x:v>
      </x:c>
      <x:c r="R141" s="24" t="str"/>
    </x:row>
    <x:row r="142" ht="68" customHeight="1">
      <x:c r="A142" s="25" t="str">
        <x:v>FIN-013</x:v>
      </x:c>
      <x:c r="B142" s="25" t="str">
        <x:v>费用与支付</x:v>
      </x:c>
      <x:c r="C142" s="25" t="str">
        <x:v>待实操</x:v>
      </x:c>
      <x:c r="D142" s="25" t="str">
        <x:v>P0</x:v>
      </x:c>
      <x:c r="E142" s="24" t="str">
        <x:v>购买者</x:v>
      </x:c>
      <x:c r="F142" s="24" t="str">
        <x:v>当前客户端</x:v>
      </x:c>
      <x:c r="G142" s="24" t="str">
        <x:v>平台设备/IP</x:v>
      </x:c>
      <x:c r="H142" s="24" t="str">
        <x:v>券已锁定但支付失败</x:v>
      </x:c>
      <x:c r="I142" s="24" t="str">
        <x:v>失败后立即再次下单</x:v>
      </x:c>
      <x:c r="J142" s="24" t="str">
        <x:v>券显示释放中，暂不可选</x:v>
      </x:c>
      <x:c r="K142" s="24" t="str">
        <x:v>支付未完成，优惠券将在 {n} 分钟内退回账户。</x:v>
      </x:c>
      <x:c r="L142" s="24" t="str">
        <x:v>Toast/券状态</x:v>
      </x:c>
      <x:c r="M142" s="24" t="str">
        <x:v>待实操；期望券不永久占用，也不重复核销</x:v>
      </x:c>
      <x:c r="N142" s="24" t="str">
        <x:v>建议 5分钟内释放</x:v>
      </x:c>
      <x:c r="O142" s="24" t="str">
        <x:v>锁定、释放、核销状态</x:v>
      </x:c>
      <x:c r="P142" s="24" t="str">
        <x:v>释放后重用</x:v>
      </x:c>
      <x:c r="Q142" s="24" t="str">
        <x:v>待补 FIN-013</x:v>
      </x:c>
      <x:c r="R142" s="24" t="str"/>
    </x:row>
    <x:row r="143" ht="68" customHeight="1">
      <x:c r="A143" s="25" t="str">
        <x:v>FIN-014</x:v>
      </x:c>
      <x:c r="B143" s="25" t="str">
        <x:v>费用与支付</x:v>
      </x:c>
      <x:c r="C143" s="25" t="str">
        <x:v>待实操</x:v>
      </x:c>
      <x:c r="D143" s="25" t="str">
        <x:v>P1</x:v>
      </x:c>
      <x:c r="E143" s="24" t="str">
        <x:v>财务</x:v>
      </x:c>
      <x:c r="F143" s="24" t="str">
        <x:v>当前客户端</x:v>
      </x:c>
      <x:c r="G143" s="24" t="str">
        <x:v>当前终端/IP</x:v>
      </x:c>
      <x:c r="H143" s="24" t="str">
        <x:v>进入开票表单</x:v>
      </x:c>
      <x:c r="I143" s="24" t="str">
        <x:v>错误税号提交 2 次</x:v>
      </x:c>
      <x:c r="J143" s="24" t="str">
        <x:v>提交后聚焦错误字段</x:v>
      </x:c>
      <x:c r="K143" s="24" t="str">
        <x:v>请检查发票信息：纳税人识别号格式不正确。</x:v>
      </x:c>
      <x:c r="L143" s="24" t="str">
        <x:v>字段错误 + 顶部汇总</x:v>
      </x:c>
      <x:c r="M143" s="24" t="str">
        <x:v>待实操；期望不创建申请，保留其他已填内容</x:v>
      </x:c>
      <x:c r="N143" s="24" t="str">
        <x:v>无</x:v>
      </x:c>
      <x:c r="O143" s="24" t="str">
        <x:v>校验失败，不记完整税号</x:v>
      </x:c>
      <x:c r="P143" s="24" t="str">
        <x:v>修改后提交</x:v>
      </x:c>
      <x:c r="Q143" s="24" t="str">
        <x:v>待补 FIN-014</x:v>
      </x:c>
      <x:c r="R143" s="24" t="str"/>
    </x:row>
    <x:row r="144" ht="68" customHeight="1">
      <x:c r="A144" s="25" t="str">
        <x:v>FIN-015</x:v>
      </x:c>
      <x:c r="B144" s="25" t="str">
        <x:v>费用与支付</x:v>
      </x:c>
      <x:c r="C144" s="25" t="str">
        <x:v>待实操</x:v>
      </x:c>
      <x:c r="D144" s="25" t="str">
        <x:v>P0</x:v>
      </x:c>
      <x:c r="E144" s="24" t="str">
        <x:v>财务</x:v>
      </x:c>
      <x:c r="F144" s="24" t="str">
        <x:v>当前客户端</x:v>
      </x:c>
      <x:c r="G144" s="24" t="str">
        <x:v>当前终端/IP</x:v>
      </x:c>
      <x:c r="H144" s="24" t="str">
        <x:v>所选订单已有开票申请</x:v>
      </x:c>
      <x:c r="I144" s="24" t="str">
        <x:v>再次勾选并申请</x:v>
      </x:c>
      <x:c r="J144" s="24" t="str">
        <x:v>已申请订单禁选</x:v>
      </x:c>
      <x:c r="K144" s="24" t="str">
        <x:v>所选订单已申请开票，请勿重复提交。</x:v>
      </x:c>
      <x:c r="L144" s="24" t="str">
        <x:v>行内状态/弹窗</x:v>
      </x:c>
      <x:c r="M144" s="24" t="str">
        <x:v>待实操；期望不重复占用可开票金额</x:v>
      </x:c>
      <x:c r="N144" s="24" t="str">
        <x:v>无</x:v>
      </x:c>
      <x:c r="O144" s="24" t="str">
        <x:v>重复请求</x:v>
      </x:c>
      <x:c r="P144" s="24" t="str">
        <x:v>查看原申请</x:v>
      </x:c>
      <x:c r="Q144" s="24" t="str">
        <x:v>待补 FIN-015</x:v>
      </x:c>
      <x:c r="R144" s="24" t="str"/>
    </x:row>
    <x:row r="145" ht="68" customHeight="1">
      <x:c r="A145" s="25" t="str">
        <x:v>FIN-016</x:v>
      </x:c>
      <x:c r="B145" s="25" t="str">
        <x:v>费用与支付</x:v>
      </x:c>
      <x:c r="C145" s="25" t="str">
        <x:v>待实操</x:v>
      </x:c>
      <x:c r="D145" s="25" t="str">
        <x:v>P1</x:v>
      </x:c>
      <x:c r="E145" s="24" t="str">
        <x:v>财务</x:v>
      </x:c>
      <x:c r="F145" s="24" t="str">
        <x:v>当前客户端</x:v>
      </x:c>
      <x:c r="G145" s="24" t="str">
        <x:v>当前终端/IP</x:v>
      </x:c>
      <x:c r="H145" s="24" t="str">
        <x:v>开票申请被驳回</x:v>
      </x:c>
      <x:c r="I145" s="24" t="str">
        <x:v>查看详情并修改</x:v>
      </x:c>
      <x:c r="J145" s="24" t="str">
        <x:v>重新提交可用，查看发票禁用</x:v>
      </x:c>
      <x:c r="K145" s="24" t="str">
        <x:v>开票申请未通过：{原因}。请修改后重新提交。</x:v>
      </x:c>
      <x:c r="L145" s="24" t="str">
        <x:v>状态详情弹窗</x:v>
      </x:c>
      <x:c r="M145" s="24" t="str">
        <x:v>待实操；期望保留原历史并生成新修订版本</x:v>
      </x:c>
      <x:c r="N145" s="24" t="str">
        <x:v>无</x:v>
      </x:c>
      <x:c r="O145" s="24" t="str">
        <x:v>操作日志、站内信；必要时邮件</x:v>
      </x:c>
      <x:c r="P145" s="24" t="str">
        <x:v>修改重提</x:v>
      </x:c>
      <x:c r="Q145" s="24" t="str">
        <x:v>待补 FIN-016</x:v>
      </x:c>
      <x:c r="R145" s="24" t="str"/>
    </x:row>
    <x:row r="146" ht="68" customHeight="1">
      <x:c r="A146" s="25" t="str">
        <x:v>FIN-017</x:v>
      </x:c>
      <x:c r="B146" s="25" t="str">
        <x:v>费用与支付</x:v>
      </x:c>
      <x:c r="C146" s="25" t="str">
        <x:v>待实操</x:v>
      </x:c>
      <x:c r="D146" s="25" t="str">
        <x:v>P0</x:v>
      </x:c>
      <x:c r="E146" s="24" t="str">
        <x:v>财务/管理员</x:v>
      </x:c>
      <x:c r="F146" s="24" t="str">
        <x:v>当前客户端/服务端任务</x:v>
      </x:c>
      <x:c r="G146" s="24" t="str">
        <x:v>多台平台设备/IP</x:v>
      </x:c>
      <x:c r="H146" s="24" t="str">
        <x:v>多台设备同日自动续费、余额不足</x:v>
      </x:c>
      <x:c r="I146" s="24" t="str">
        <x:v>10 台同时执行</x:v>
      </x:c>
      <x:c r="J146" s="24" t="str">
        <x:v>失败设备显示续费失败</x:v>
      </x:c>
      <x:c r="K146" s="24" t="str">
        <x:v>自动续费失败：团队余额不足，共 {n} 台设备未续费。请在 {到期时间} 前充值或手动续费。</x:v>
      </x:c>
      <x:c r="L146" s="24" t="str">
        <x:v>站内弹窗/列表状态</x:v>
      </x:c>
      <x:c r="M146" s="24" t="str">
        <x:v>待实操；期望逐台落账，不超扣、不重复续期</x:v>
      </x:c>
      <x:c r="N146" s="24" t="str">
        <x:v>建议 30分钟重试</x:v>
      </x:c>
      <x:c r="O146" s="24" t="str">
        <x:v>逐设备日志、站内信和短信汇总</x:v>
      </x:c>
      <x:c r="P146" s="24" t="str">
        <x:v>到期前充值或手动续费</x:v>
      </x:c>
      <x:c r="Q146" s="24" t="str">
        <x:v>待补 FIN-017</x:v>
      </x:c>
      <x:c r="R146" s="24" t="str"/>
    </x:row>
    <x:row r="147" ht="68" customHeight="1">
      <x:c r="A147" s="25" t="str">
        <x:v>FIN-018</x:v>
      </x:c>
      <x:c r="B147" s="25" t="str">
        <x:v>费用与支付</x:v>
      </x:c>
      <x:c r="C147" s="25" t="str">
        <x:v>待实操</x:v>
      </x:c>
      <x:c r="D147" s="25" t="str">
        <x:v>P0</x:v>
      </x:c>
      <x:c r="E147" s="24" t="str">
        <x:v>管理员/购买者</x:v>
      </x:c>
      <x:c r="F147" s="24" t="str">
        <x:v>当前客户端</x:v>
      </x:c>
      <x:c r="G147" s="24" t="str">
        <x:v>平台设备/IP</x:v>
      </x:c>
      <x:c r="H147" s="24" t="str">
        <x:v>自动续费与手动续费同时触发</x:v>
      </x:c>
      <x:c r="I147" s="24" t="str">
        <x:v>双端并发</x:v>
      </x:c>
      <x:c r="J147" s="24" t="str">
        <x:v>首个请求后其余显示处理中</x:v>
      </x:c>
      <x:c r="K147" s="24" t="str">
        <x:v>续费状态正在更新，请勿重复操作。</x:v>
      </x:c>
      <x:c r="L147" s="24" t="str">
        <x:v>Toast</x:v>
      </x:c>
      <x:c r="M147" s="24" t="str">
        <x:v>待实操；期望到期时间只顺延一次，券只核销一次</x:v>
      </x:c>
      <x:c r="N147" s="24" t="str">
        <x:v>请求结束或 30s</x:v>
      </x:c>
      <x:c r="O147" s="24" t="str">
        <x:v>自动任务与人工请求关联幂等键</x:v>
      </x:c>
      <x:c r="P147" s="24" t="str">
        <x:v>异常时人工对账</x:v>
      </x:c>
      <x:c r="Q147" s="24" t="str">
        <x:v>待补 FIN-018</x:v>
      </x:c>
      <x:c r="R147" s="24" t="str"/>
    </x:row>
    <x:row r="148" ht="68" customHeight="1">
      <x:c r="A148" s="25" t="str">
        <x:v>EXT-001</x:v>
      </x:c>
      <x:c r="B148" s="25" t="str">
        <x:v>插件工具</x:v>
      </x:c>
      <x:c r="C148" s="25" t="str">
        <x:v>待实操</x:v>
      </x:c>
      <x:c r="D148" s="25" t="str">
        <x:v>P0</x:v>
      </x:c>
      <x:c r="E148" s="24" t="str">
        <x:v>普通成员</x:v>
      </x:c>
      <x:c r="F148" s="24" t="str">
        <x:v>当前客户端</x:v>
      </x:c>
      <x:c r="G148" s="24" t="str">
        <x:v>平台设备/IP</x:v>
      </x:c>
      <x:c r="H148" s="24" t="str">
        <x:v>无插件管理权限</x:v>
      </x:c>
      <x:c r="I148" s="24" t="str">
        <x:v>直达添加入口 3 次</x:v>
      </x:c>
      <x:c r="J148" s="24" t="str">
        <x:v>添加隐藏或禁用</x:v>
      </x:c>
      <x:c r="K148" s="24" t="str">
        <x:v>你没有添加插件的权限，请联系团队管理员。</x:v>
      </x:c>
      <x:c r="L148" s="24" t="str">
        <x:v>权限弹窗</x:v>
      </x:c>
      <x:c r="M148" s="24" t="str">
        <x:v>待实操；期望不创建插件、不泄露管理配置</x:v>
      </x:c>
      <x:c r="N148" s="24" t="str">
        <x:v>无</x:v>
      </x:c>
      <x:c r="O148" s="24" t="str">
        <x:v>拒绝访问</x:v>
      </x:c>
      <x:c r="P148" s="24" t="str">
        <x:v>管理员授权后重试</x:v>
      </x:c>
      <x:c r="Q148" s="24" t="str">
        <x:v>待补 EXT-001</x:v>
      </x:c>
      <x:c r="R148" s="24" t="str"/>
    </x:row>
    <x:row r="149" ht="68" customHeight="1">
      <x:c r="A149" s="25" t="str">
        <x:v>EXT-002</x:v>
      </x:c>
      <x:c r="B149" s="25" t="str">
        <x:v>插件工具</x:v>
      </x:c>
      <x:c r="C149" s="25" t="str">
        <x:v>待实操</x:v>
      </x:c>
      <x:c r="D149" s="25" t="str">
        <x:v>P1</x:v>
      </x:c>
      <x:c r="E149" s="24" t="str">
        <x:v>管理员</x:v>
      </x:c>
      <x:c r="F149" s="24" t="str">
        <x:v>当前客户端</x:v>
      </x:c>
      <x:c r="G149" s="24" t="str">
        <x:v>受限网络/IP</x:v>
      </x:c>
      <x:c r="H149" s="24" t="str">
        <x:v>Chrome 商店不可达</x:v>
      </x:c>
      <x:c r="I149" s="24" t="str">
        <x:v>搜索和刷新各 3 次</x:v>
      </x:c>
      <x:c r="J149" s="24" t="str">
        <x:v>搜索防抖；重试可用</x:v>
      </x:c>
      <x:c r="K149" s="24" t="str">
        <x:v>插件商店暂时无法访问，请检查网络后重试。</x:v>
      </x:c>
      <x:c r="L149" s="24" t="str">
        <x:v>空状态</x:v>
      </x:c>
      <x:c r="M149" s="24" t="str">
        <x:v>待实操；期望保留搜索词，不生成空记录</x:v>
      </x:c>
      <x:c r="N149" s="24" t="str">
        <x:v>3s</x:v>
      </x:c>
      <x:c r="O149" s="24" t="str">
        <x:v>网络错误；无短信</x:v>
      </x:c>
      <x:c r="P149" s="24" t="str">
        <x:v>恢复网络后重试</x:v>
      </x:c>
      <x:c r="Q149" s="24" t="str">
        <x:v>待补 EXT-002</x:v>
      </x:c>
      <x:c r="R149" s="24" t="str"/>
    </x:row>
    <x:row r="150" ht="68" customHeight="1">
      <x:c r="A150" s="25" t="str">
        <x:v>EXT-003</x:v>
      </x:c>
      <x:c r="B150" s="25" t="str">
        <x:v>插件工具</x:v>
      </x:c>
      <x:c r="C150" s="25" t="str">
        <x:v>待实操</x:v>
      </x:c>
      <x:c r="D150" s="25" t="str">
        <x:v>P0</x:v>
      </x:c>
      <x:c r="E150" s="24" t="str">
        <x:v>管理员</x:v>
      </x:c>
      <x:c r="F150" s="24" t="str">
        <x:v>当前客户端</x:v>
      </x:c>
      <x:c r="G150" s="24" t="str">
        <x:v>平台设备/IP</x:v>
      </x:c>
      <x:c r="H150" s="24" t="str">
        <x:v>插件申请高敏权限</x:v>
      </x:c>
      <x:c r="I150" s="24" t="str">
        <x:v>未确认风险即添加</x:v>
      </x:c>
      <x:c r="J150" s="24" t="str">
        <x:v>添加禁用</x:v>
      </x:c>
      <x:c r="K150" s="24" t="str">
        <x:v>请先阅读并确认插件权限风险。</x:v>
      </x:c>
      <x:c r="L150" s="24" t="str">
        <x:v>权限确认弹窗</x:v>
      </x:c>
      <x:c r="M150" s="24" t="str">
        <x:v>待实操；期望未确认前不得安装</x:v>
      </x:c>
      <x:c r="N150" s="24" t="str">
        <x:v>无</x:v>
      </x:c>
      <x:c r="O150" s="24" t="str">
        <x:v>确认版本、操作者</x:v>
      </x:c>
      <x:c r="P150" s="24" t="str">
        <x:v>确认后继续</x:v>
      </x:c>
      <x:c r="Q150" s="24" t="str">
        <x:v>待补 EXT-003</x:v>
      </x:c>
      <x:c r="R150" s="24" t="str"/>
    </x:row>
    <x:row r="151" ht="68" customHeight="1">
      <x:c r="A151" s="25" t="str">
        <x:v>EXT-004</x:v>
      </x:c>
      <x:c r="B151" s="25" t="str">
        <x:v>插件工具</x:v>
      </x:c>
      <x:c r="C151" s="25" t="str">
        <x:v>待实操</x:v>
      </x:c>
      <x:c r="D151" s="25" t="str">
        <x:v>P1</x:v>
      </x:c>
      <x:c r="E151" s="24" t="str">
        <x:v>管理员</x:v>
      </x:c>
      <x:c r="F151" s="24" t="str">
        <x:v>当前客户端</x:v>
      </x:c>
      <x:c r="G151" s="24" t="str">
        <x:v>当前终端/IP</x:v>
      </x:c>
      <x:c r="H151" s="24" t="str">
        <x:v>上传损坏/错误格式/超限包</x:v>
      </x:c>
      <x:c r="I151" s="24" t="str">
        <x:v>3 种异常文件</x:v>
      </x:c>
      <x:c r="J151" s="24" t="str">
        <x:v>上传中禁用；失败后恢复</x:v>
      </x:c>
      <x:c r="K151" s="24" t="str">
        <x:v>插件包无法解析，请上传有效的 .crx 或 .zip 文件。</x:v>
      </x:c>
      <x:c r="L151" s="24" t="str">
        <x:v>上传失败 Toast</x:v>
      </x:c>
      <x:c r="M151" s="24" t="str">
        <x:v>待实操；期望不留半成品、不影响现有插件</x:v>
      </x:c>
      <x:c r="N151" s="24" t="str">
        <x:v>无</x:v>
      </x:c>
      <x:c r="O151" s="24" t="str">
        <x:v>文件摘要和错误，不记源码</x:v>
      </x:c>
      <x:c r="P151" s="24" t="str">
        <x:v>换包重传</x:v>
      </x:c>
      <x:c r="Q151" s="24" t="str">
        <x:v>待补 EXT-004</x:v>
      </x:c>
      <x:c r="R151" s="24" t="str"/>
    </x:row>
    <x:row r="152" ht="68" customHeight="1">
      <x:c r="A152" s="25" t="str">
        <x:v>EXT-005</x:v>
      </x:c>
      <x:c r="B152" s="25" t="str">
        <x:v>插件工具</x:v>
      </x:c>
      <x:c r="C152" s="25" t="str">
        <x:v>待实操</x:v>
      </x:c>
      <x:c r="D152" s="25" t="str">
        <x:v>P1</x:v>
      </x:c>
      <x:c r="E152" s="24" t="str">
        <x:v>管理员</x:v>
      </x:c>
      <x:c r="F152" s="24" t="str">
        <x:v>当前客户端</x:v>
      </x:c>
      <x:c r="G152" s="24" t="str">
        <x:v>平台设备/IP</x:v>
      </x:c>
      <x:c r="H152" s="24" t="str">
        <x:v>已有相同或更高版本</x:v>
      </x:c>
      <x:c r="I152" s="24" t="str">
        <x:v>相同版、低版本各 1 次</x:v>
      </x:c>
      <x:c r="J152" s="24" t="str">
        <x:v>按版本校验</x:v>
      </x:c>
      <x:c r="K152" s="24" t="str">
        <x:v>当前版本不高于已安装版本。确认降级可能导致配置不兼容。</x:v>
      </x:c>
      <x:c r="L152" s="24" t="str">
        <x:v>二次确认弹窗</x:v>
      </x:c>
      <x:c r="M152" s="24" t="str">
        <x:v>待实操；期望默认阻止重复，降级保留回滚点</x:v>
      </x:c>
      <x:c r="N152" s="24" t="str">
        <x:v>5s</x:v>
      </x:c>
      <x:c r="O152" s="24" t="str">
        <x:v>旧/新版本、操作者</x:v>
      </x:c>
      <x:c r="P152" s="24" t="str">
        <x:v>取消或回滚</x:v>
      </x:c>
      <x:c r="Q152" s="24" t="str">
        <x:v>待补 EXT-005</x:v>
      </x:c>
      <x:c r="R152" s="24" t="str"/>
    </x:row>
    <x:row r="153" ht="68" customHeight="1">
      <x:c r="A153" s="25" t="str">
        <x:v>EXT-006</x:v>
      </x:c>
      <x:c r="B153" s="25" t="str">
        <x:v>插件工具</x:v>
      </x:c>
      <x:c r="C153" s="25" t="str">
        <x:v>待实操</x:v>
      </x:c>
      <x:c r="D153" s="25" t="str">
        <x:v>P0</x:v>
      </x:c>
      <x:c r="E153" s="24" t="str">
        <x:v>管理员</x:v>
      </x:c>
      <x:c r="F153" s="24" t="str">
        <x:v>当前客户端</x:v>
      </x:c>
      <x:c r="G153" s="24" t="str">
        <x:v>平台设备/IP</x:v>
      </x:c>
      <x:c r="H153" s="24" t="str">
        <x:v>插件正被运行店铺使用</x:v>
      </x:c>
      <x:c r="I153" s="24" t="str">
        <x:v>更新 1 次</x:v>
      </x:c>
      <x:c r="J153" s="24" t="str">
        <x:v>更新后显示待重启生效</x:v>
      </x:c>
      <x:c r="K153" s="24" t="str">
        <x:v>插件已更新，将在相关店铺环境重启后生效。</x:v>
      </x:c>
      <x:c r="L153" s="24" t="str">
        <x:v>成功 Toast</x:v>
      </x:c>
      <x:c r="M153" s="24" t="str">
        <x:v>待实操；期望运行环境不中断，新环境使用新版本</x:v>
      </x:c>
      <x:c r="N153" s="24" t="str">
        <x:v>无</x:v>
      </x:c>
      <x:c r="O153" s="24" t="str">
        <x:v>影响店铺、版本</x:v>
      </x:c>
      <x:c r="P153" s="24" t="str">
        <x:v>重启或回滚</x:v>
      </x:c>
      <x:c r="Q153" s="24" t="str">
        <x:v>待补 EXT-006</x:v>
      </x:c>
      <x:c r="R153" s="24" t="str"/>
    </x:row>
    <x:row r="154" ht="68" customHeight="1">
      <x:c r="A154" s="25" t="str">
        <x:v>EXT-007</x:v>
      </x:c>
      <x:c r="B154" s="25" t="str">
        <x:v>插件工具</x:v>
      </x:c>
      <x:c r="C154" s="25" t="str">
        <x:v>待实操</x:v>
      </x:c>
      <x:c r="D154" s="25" t="str">
        <x:v>P0</x:v>
      </x:c>
      <x:c r="E154" s="24" t="str">
        <x:v>管理员</x:v>
      </x:c>
      <x:c r="F154" s="24" t="str">
        <x:v>当前客户端</x:v>
      </x:c>
      <x:c r="G154" s="24" t="str">
        <x:v>平台设备/IP</x:v>
      </x:c>
      <x:c r="H154" s="24" t="str">
        <x:v>插件分配给多店铺且有环境运行</x:v>
      </x:c>
      <x:c r="I154" s="24" t="str">
        <x:v>删除 1 次</x:v>
      </x:c>
      <x:c r="J154" s="24" t="str">
        <x:v>二次确认</x:v>
      </x:c>
      <x:c r="K154" s="24" t="str">
        <x:v>该插件已分配给 {n} 个店铺，其中 {m} 个正在运行。删除后下次启动将不再加载。</x:v>
      </x:c>
      <x:c r="L154" s="24" t="str">
        <x:v>风险弹窗</x:v>
      </x:c>
      <x:c r="M154" s="24" t="str">
        <x:v>待实操；期望不强制中断当前环境，删除关系可审计</x:v>
      </x:c>
      <x:c r="N154" s="24" t="str">
        <x:v>5s</x:v>
      </x:c>
      <x:c r="O154" s="24" t="str">
        <x:v>插件、店铺、成员、删除人</x:v>
      </x:c>
      <x:c r="P154" s="24" t="str">
        <x:v>重新安装和分配</x:v>
      </x:c>
      <x:c r="Q154" s="24" t="str">
        <x:v>待补 EXT-007</x:v>
      </x:c>
      <x:c r="R154" s="24" t="str"/>
    </x:row>
    <x:row r="155" ht="68" customHeight="1">
      <x:c r="A155" s="25" t="str">
        <x:v>EXT-008</x:v>
      </x:c>
      <x:c r="B155" s="25" t="str">
        <x:v>插件工具</x:v>
      </x:c>
      <x:c r="C155" s="25" t="str">
        <x:v>待实操</x:v>
      </x:c>
      <x:c r="D155" s="25" t="str">
        <x:v>P0</x:v>
      </x:c>
      <x:c r="E155" s="24" t="str">
        <x:v>普通成员</x:v>
      </x:c>
      <x:c r="F155" s="24" t="str">
        <x:v>当前客户端</x:v>
      </x:c>
      <x:c r="G155" s="24" t="str">
        <x:v>平台设备/IP</x:v>
      </x:c>
      <x:c r="H155" s="24" t="str">
        <x:v>有插件分配但无店铺授权</x:v>
      </x:c>
      <x:c r="I155" s="24" t="str">
        <x:v>从插件进入店铺 3 次</x:v>
      </x:c>
      <x:c r="J155" s="24" t="str">
        <x:v>进入按钮禁用</x:v>
      </x:c>
      <x:c r="K155" s="24" t="str">
        <x:v>你可以使用该插件，但没有目标店铺的访问权限。</x:v>
      </x:c>
      <x:c r="L155" s="24" t="str">
        <x:v>权限弹窗</x:v>
      </x:c>
      <x:c r="M155" s="24" t="str">
        <x:v>待实操；期望插件授权不能绕过店铺授权</x:v>
      </x:c>
      <x:c r="N155" s="24" t="str">
        <x:v>无</x:v>
      </x:c>
      <x:c r="O155" s="24" t="str">
        <x:v>越权阻断</x:v>
      </x:c>
      <x:c r="P155" s="24" t="str">
        <x:v>补充店铺授权</x:v>
      </x:c>
      <x:c r="Q155" s="24" t="str">
        <x:v>待补 EXT-008</x:v>
      </x:c>
      <x:c r="R155" s="24" t="str"/>
    </x:row>
    <x:row r="156" ht="68" customHeight="1">
      <x:c r="A156" s="25" t="str">
        <x:v>EXT-009</x:v>
      </x:c>
      <x:c r="B156" s="25" t="str">
        <x:v>插件工具</x:v>
      </x:c>
      <x:c r="C156" s="25" t="str">
        <x:v>待实操</x:v>
      </x:c>
      <x:c r="D156" s="25" t="str">
        <x:v>P1</x:v>
      </x:c>
      <x:c r="E156" s="24" t="str">
        <x:v>运营成员</x:v>
      </x:c>
      <x:c r="F156" s="24" t="str">
        <x:v>当前客户端</x:v>
      </x:c>
      <x:c r="G156" s="24" t="str">
        <x:v>平台设备/IP</x:v>
      </x:c>
      <x:c r="H156" s="24" t="str">
        <x:v>翻译服务离线或超时</x:v>
      </x:c>
      <x:c r="I156" s="24" t="str">
        <x:v>连续翻译 3 次</x:v>
      </x:c>
      <x:c r="J156" s="24" t="str">
        <x:v>Loading，失败后可重试</x:v>
      </x:c>
      <x:c r="K156" s="24" t="str">
        <x:v>翻译服务暂时不可用，原页面内容未被修改。</x:v>
      </x:c>
      <x:c r="L156" s="24" t="str">
        <x:v>Toast</x:v>
      </x:c>
      <x:c r="M156" s="24" t="str">
        <x:v>待实操；期望保留原文，不产生半翻译页面</x:v>
      </x:c>
      <x:c r="N156" s="24" t="str">
        <x:v>3s</x:v>
      </x:c>
      <x:c r="O156" s="24" t="str">
        <x:v>语言和错误码，不记页面正文</x:v>
      </x:c>
      <x:c r="P156" s="24" t="str">
        <x:v>重试或换工具</x:v>
      </x:c>
      <x:c r="Q156" s="24" t="str">
        <x:v>待补 EXT-009</x:v>
      </x:c>
      <x:c r="R156" s="24" t="str"/>
    </x:row>
    <x:row r="157" ht="68" customHeight="1">
      <x:c r="A157" s="25" t="str">
        <x:v>EXT-010</x:v>
      </x:c>
      <x:c r="B157" s="25" t="str">
        <x:v>插件工具</x:v>
      </x:c>
      <x:c r="C157" s="25" t="str">
        <x:v>待实操</x:v>
      </x:c>
      <x:c r="D157" s="25" t="str">
        <x:v>P0</x:v>
      </x:c>
      <x:c r="E157" s="24" t="str">
        <x:v>运营成员</x:v>
      </x:c>
      <x:c r="F157" s="24" t="str">
        <x:v>当前客户端</x:v>
      </x:c>
      <x:c r="G157" s="24" t="str">
        <x:v>本机磁盘/平台设备 IP</x:v>
      </x:c>
      <x:c r="H157" s="24" t="str">
        <x:v>下载目录无权限或磁盘满</x:v>
      </x:c>
      <x:c r="I157" s="24" t="str">
        <x:v>下载文件 2 次</x:v>
      </x:c>
      <x:c r="J157" s="24" t="str">
        <x:v>失败后恢复</x:v>
      </x:c>
      <x:c r="K157" s="24" t="str">
        <x:v>文件保存失败：目标目录不可写或磁盘空间不足。请更换目录后重试。</x:v>
      </x:c>
      <x:c r="L157" s="24" t="str">
        <x:v>系统弹窗</x:v>
      </x:c>
      <x:c r="M157" s="24" t="str">
        <x:v>待实操；期望不生成零字节伪成功文件</x:v>
      </x:c>
      <x:c r="N157" s="24" t="str">
        <x:v>无</x:v>
      </x:c>
      <x:c r="O157" s="24" t="str">
        <x:v>本地错误日志</x:v>
      </x:c>
      <x:c r="P157" s="24" t="str">
        <x:v>更换目录或清空间</x:v>
      </x:c>
      <x:c r="Q157" s="24" t="str">
        <x:v>待补 EXT-010</x:v>
      </x:c>
      <x:c r="R157" s="24" t="str"/>
    </x:row>
    <x:row r="158" ht="68" customHeight="1">
      <x:c r="A158" s="25" t="str">
        <x:v>EXT-011</x:v>
      </x:c>
      <x:c r="B158" s="25" t="str">
        <x:v>插件工具</x:v>
      </x:c>
      <x:c r="C158" s="25" t="str">
        <x:v>待实操</x:v>
      </x:c>
      <x:c r="D158" s="25" t="str">
        <x:v>P1</x:v>
      </x:c>
      <x:c r="E158" s="24" t="str">
        <x:v>运营成员</x:v>
      </x:c>
      <x:c r="F158" s="24" t="str">
        <x:v>当前客户端</x:v>
      </x:c>
      <x:c r="G158" s="24" t="str">
        <x:v>摄像头/麦克风设备</x:v>
      </x:c>
      <x:c r="H158" s="24" t="str">
        <x:v>系统媒体权限被拒绝</x:v>
      </x:c>
      <x:c r="I158" s="24" t="str">
        <x:v>启动测试 1 次</x:v>
      </x:c>
      <x:c r="J158" s="24" t="str">
        <x:v>失败后显示设置入口</x:v>
      </x:c>
      <x:c r="K158" s="24" t="str">
        <x:v>无法访问摄像头或麦克风，请在系统设置中授权后重新测试。</x:v>
      </x:c>
      <x:c r="L158" s="24" t="str">
        <x:v>权限弹窗</x:v>
      </x:c>
      <x:c r="M158" s="24" t="str">
        <x:v>待实操；期望不进入第三方认证，不伪报设备正常</x:v>
      </x:c>
      <x:c r="N158" s="24" t="str">
        <x:v>无</x:v>
      </x:c>
      <x:c r="O158" s="24" t="str">
        <x:v>设备权限状态</x:v>
      </x:c>
      <x:c r="P158" s="24" t="str">
        <x:v>授权后重测</x:v>
      </x:c>
      <x:c r="Q158" s="24" t="str">
        <x:v>待补 EXT-011</x:v>
      </x:c>
      <x:c r="R158" s="24" t="str"/>
    </x:row>
    <x:row r="159" ht="68" customHeight="1">
      <x:c r="A159" s="25" t="str">
        <x:v>AGT-001</x:v>
      </x:c>
      <x:c r="B159" s="25" t="str">
        <x:v>Agent与MCP</x:v>
      </x:c>
      <x:c r="C159" s="25" t="str">
        <x:v>待实操</x:v>
      </x:c>
      <x:c r="D159" s="25" t="str">
        <x:v>P0</x:v>
      </x:c>
      <x:c r="E159" s="24" t="str">
        <x:v>普通成员</x:v>
      </x:c>
      <x:c r="F159" s="24" t="str">
        <x:v>当前客户端</x:v>
      </x:c>
      <x:c r="G159" s="24" t="str">
        <x:v>平台设备/IP</x:v>
      </x:c>
      <x:c r="H159" s="24" t="str">
        <x:v>无 Agent 或目标店铺权限</x:v>
      </x:c>
      <x:c r="I159" s="24" t="str">
        <x:v>点击运行 3 次</x:v>
      </x:c>
      <x:c r="J159" s="24" t="str">
        <x:v>运行禁用</x:v>
      </x:c>
      <x:c r="K159" s="24" t="str">
        <x:v>你缺少以下权限：{权限列表}。请联系管理员授权。</x:v>
      </x:c>
      <x:c r="L159" s="24" t="str">
        <x:v>权限弹窗</x:v>
      </x:c>
      <x:c r="M159" s="24" t="str">
        <x:v>待实操；期望不创建任务、不读取店铺数据</x:v>
      </x:c>
      <x:c r="N159" s="24" t="str">
        <x:v>无</x:v>
      </x:c>
      <x:c r="O159" s="24" t="str">
        <x:v>权限拒绝</x:v>
      </x:c>
      <x:c r="P159" s="24" t="str">
        <x:v>授权后重试</x:v>
      </x:c>
      <x:c r="Q159" s="24" t="str">
        <x:v>待补 AGT-001</x:v>
      </x:c>
      <x:c r="R159" s="24" t="str"/>
    </x:row>
    <x:row r="160" ht="68" customHeight="1">
      <x:c r="A160" s="25" t="str">
        <x:v>AGT-002</x:v>
      </x:c>
      <x:c r="B160" s="25" t="str">
        <x:v>Agent与MCP</x:v>
      </x:c>
      <x:c r="C160" s="25" t="str">
        <x:v>待实操</x:v>
      </x:c>
      <x:c r="D160" s="25" t="str">
        <x:v>P1</x:v>
      </x:c>
      <x:c r="E160" s="24" t="str">
        <x:v>试用成员</x:v>
      </x:c>
      <x:c r="F160" s="24" t="str">
        <x:v>当前客户端</x:v>
      </x:c>
      <x:c r="G160" s="24" t="str">
        <x:v>平台设备/IP</x:v>
      </x:c>
      <x:c r="H160" s="24" t="str">
        <x:v>试用到期或额度为 0</x:v>
      </x:c>
      <x:c r="I160" s="24" t="str">
        <x:v>点击开始任务</x:v>
      </x:c>
      <x:c r="J160" s="24" t="str">
        <x:v>改为查看方案/联系管理员</x:v>
      </x:c>
      <x:c r="K160" s="24" t="str">
        <x:v>试用额度已用完，本次任务不会执行。</x:v>
      </x:c>
      <x:c r="L160" s="24" t="str">
        <x:v>额度弹窗</x:v>
      </x:c>
      <x:c r="M160" s="24" t="str">
        <x:v>待实操；期望不扣费、不产生空任务</x:v>
      </x:c>
      <x:c r="N160" s="24" t="str">
        <x:v>无</x:v>
      </x:c>
      <x:c r="O160" s="24" t="str">
        <x:v>额度阻断；可发站内信</x:v>
      </x:c>
      <x:c r="P160" s="24" t="str">
        <x:v>获得额度后恢复</x:v>
      </x:c>
      <x:c r="Q160" s="24" t="str">
        <x:v>待补 AGT-002</x:v>
      </x:c>
      <x:c r="R160" s="24" t="str"/>
    </x:row>
    <x:row r="161" ht="68" customHeight="1">
      <x:c r="A161" s="25" t="str">
        <x:v>AGT-003</x:v>
      </x:c>
      <x:c r="B161" s="25" t="str">
        <x:v>Agent与MCP</x:v>
      </x:c>
      <x:c r="C161" s="25" t="str">
        <x:v>待实操</x:v>
      </x:c>
      <x:c r="D161" s="25" t="str">
        <x:v>P1</x:v>
      </x:c>
      <x:c r="E161" s="24" t="str">
        <x:v>运营成员</x:v>
      </x:c>
      <x:c r="F161" s="24" t="str">
        <x:v>当前客户端</x:v>
      </x:c>
      <x:c r="G161" s="24" t="str">
        <x:v>平台设备/IP</x:v>
      </x:c>
      <x:c r="H161" s="24" t="str">
        <x:v>缺少必填输入或格式错误</x:v>
      </x:c>
      <x:c r="I161" s="24" t="str">
        <x:v>连续提交 2 次</x:v>
      </x:c>
      <x:c r="J161" s="24" t="str">
        <x:v>禁用或聚焦首错字段</x:v>
      </x:c>
      <x:c r="K161" s="24" t="str">
        <x:v>请补充以下必填信息：{字段列表}。</x:v>
      </x:c>
      <x:c r="L161" s="24" t="str">
        <x:v>字段错误汇总</x:v>
      </x:c>
      <x:c r="M161" s="24" t="str">
        <x:v>待实操；期望不创建任务，保留已填内容</x:v>
      </x:c>
      <x:c r="N161" s="24" t="str">
        <x:v>无</x:v>
      </x:c>
      <x:c r="O161" s="24" t="str">
        <x:v>不记敏感输入正文</x:v>
      </x:c>
      <x:c r="P161" s="24" t="str">
        <x:v>修正后提交</x:v>
      </x:c>
      <x:c r="Q161" s="24" t="str">
        <x:v>待补 AGT-003</x:v>
      </x:c>
      <x:c r="R161" s="24" t="str"/>
    </x:row>
    <x:row r="162" ht="68" customHeight="1">
      <x:c r="A162" s="25" t="str">
        <x:v>AGT-004</x:v>
      </x:c>
      <x:c r="B162" s="25" t="str">
        <x:v>Agent与MCP</x:v>
      </x:c>
      <x:c r="C162" s="25" t="str">
        <x:v>待实操</x:v>
      </x:c>
      <x:c r="D162" s="25" t="str">
        <x:v>P0</x:v>
      </x:c>
      <x:c r="E162" s="24" t="str">
        <x:v>运营成员</x:v>
      </x:c>
      <x:c r="F162" s="24" t="str">
        <x:v>当前客户端</x:v>
      </x:c>
      <x:c r="G162" s="24" t="str">
        <x:v>平台设备/IP</x:v>
      </x:c>
      <x:c r="H162" s="24" t="str">
        <x:v>输入合法</x:v>
      </x:c>
      <x:c r="I162" s="24" t="str">
        <x:v>1秒内点击运行 3 次</x:v>
      </x:c>
      <x:c r="J162" s="24" t="str">
        <x:v>首次后禁用，显示排队/运行中</x:v>
      </x:c>
      <x:c r="K162" s="24" t="str">
        <x:v>任务已提交，请勿重复创建。</x:v>
      </x:c>
      <x:c r="L162" s="24" t="str">
        <x:v>Toast</x:v>
      </x:c>
      <x:c r="M162" s="24" t="str">
        <x:v>待实操；期望只创建 1 个任务，并发超限进入明确队列</x:v>
      </x:c>
      <x:c r="N162" s="24" t="str">
        <x:v>请求完成或 10s</x:v>
      </x:c>
      <x:c r="O162" s="24" t="str">
        <x:v>任务 ID、去重次数</x:v>
      </x:c>
      <x:c r="P162" s="24" t="str">
        <x:v>查看或取消任务</x:v>
      </x:c>
      <x:c r="Q162" s="24" t="str">
        <x:v>待补 AGT-004</x:v>
      </x:c>
      <x:c r="R162" s="24" t="str"/>
    </x:row>
    <x:row r="163" ht="68" customHeight="1">
      <x:c r="A163" s="25" t="str">
        <x:v>AGT-005</x:v>
      </x:c>
      <x:c r="B163" s="25" t="str">
        <x:v>Agent与MCP</x:v>
      </x:c>
      <x:c r="C163" s="25" t="str">
        <x:v>待实操</x:v>
      </x:c>
      <x:c r="D163" s="25" t="str">
        <x:v>P0</x:v>
      </x:c>
      <x:c r="E163" s="24" t="str">
        <x:v>运营成员</x:v>
      </x:c>
      <x:c r="F163" s="24" t="str">
        <x:v>当前客户端</x:v>
      </x:c>
      <x:c r="G163" s="24" t="str">
        <x:v>断网/弱网 IP</x:v>
      </x:c>
      <x:c r="H163" s="24" t="str">
        <x:v>任务运行中断网或超时</x:v>
      </x:c>
      <x:c r="I163" s="24" t="str">
        <x:v>断网 60 秒后恢复</x:v>
      </x:c>
      <x:c r="J163" s="24" t="str">
        <x:v>显示重试/取消，不允许重复运行</x:v>
      </x:c>
      <x:c r="K163" s="24" t="str">
        <x:v>任务执行超时，已停止继续操作。请检查结果后选择重试。</x:v>
      </x:c>
      <x:c r="L163" s="24" t="str">
        <x:v>任务状态弹窗</x:v>
      </x:c>
      <x:c r="M163" s="24" t="str">
        <x:v>待实操；期望明确为失败或待确认，不伪报成功</x:v>
      </x:c>
      <x:c r="N163" s="24" t="str">
        <x:v>建议 30s 后重试</x:v>
      </x:c>
      <x:c r="O163" s="24" t="str">
        <x:v>最后成功步骤、错误码</x:v>
      </x:c>
      <x:c r="P163" s="24" t="str">
        <x:v>从安全检查点重试</x:v>
      </x:c>
      <x:c r="Q163" s="24" t="str">
        <x:v>待补 AGT-005</x:v>
      </x:c>
      <x:c r="R163" s="24" t="str"/>
    </x:row>
    <x:row r="164" ht="68" customHeight="1">
      <x:c r="A164" s="25" t="str">
        <x:v>AGT-006</x:v>
      </x:c>
      <x:c r="B164" s="25" t="str">
        <x:v>Agent与MCP</x:v>
      </x:c>
      <x:c r="C164" s="25" t="str">
        <x:v>待实操</x:v>
      </x:c>
      <x:c r="D164" s="25" t="str">
        <x:v>P0</x:v>
      </x:c>
      <x:c r="E164" s="24" t="str">
        <x:v>运营成员/管理员</x:v>
      </x:c>
      <x:c r="F164" s="24" t="str">
        <x:v>当前客户端</x:v>
      </x:c>
      <x:c r="G164" s="24" t="str">
        <x:v>平台设备/IP</x:v>
      </x:c>
      <x:c r="H164" s="24" t="str">
        <x:v>任务已部分修改业务对象</x:v>
      </x:c>
      <x:c r="I164" s="24" t="str">
        <x:v>触发异常并人工接管</x:v>
      </x:c>
      <x:c r="J164" s="24" t="str">
        <x:v>自动操作停止，接管可用</x:v>
      </x:c>
      <x:c r="K164" s="24" t="str">
        <x:v>任务仅完成部分步骤。继续前请核对以下变更：{变更列表}。</x:v>
      </x:c>
      <x:c r="L164" s="24" t="str">
        <x:v>高风险弹窗</x:v>
      </x:c>
      <x:c r="M164" s="24" t="str">
        <x:v>待实操；期望列出已完成、未完成、可回滚项</x:v>
      </x:c>
      <x:c r="N164" s="24" t="str">
        <x:v>无</x:v>
      </x:c>
      <x:c r="O164" s="24" t="str">
        <x:v>Agent 与人工动作完整关联</x:v>
      </x:c>
      <x:c r="P164" s="24" t="str">
        <x:v>按步骤标明是否可回滚</x:v>
      </x:c>
      <x:c r="Q164" s="24" t="str">
        <x:v>待补 AGT-006</x:v>
      </x:c>
      <x:c r="R164" s="24" t="str"/>
    </x:row>
    <x:row r="165" ht="68" customHeight="1">
      <x:c r="A165" s="25" t="str">
        <x:v>AGT-007</x:v>
      </x:c>
      <x:c r="B165" s="25" t="str">
        <x:v>Agent与MCP</x:v>
      </x:c>
      <x:c r="C165" s="25" t="str">
        <x:v>待实操</x:v>
      </x:c>
      <x:c r="D165" s="25" t="str">
        <x:v>P0</x:v>
      </x:c>
      <x:c r="E165" s="24" t="str">
        <x:v>管理员/运营成员</x:v>
      </x:c>
      <x:c r="F165" s="24" t="str">
        <x:v>当前客户端</x:v>
      </x:c>
      <x:c r="G165" s="24" t="str">
        <x:v>平台设备/IP</x:v>
      </x:c>
      <x:c r="H165" s="24" t="str">
        <x:v>Agent 运行中撤销权限</x:v>
      </x:c>
      <x:c r="I165" s="24" t="str">
        <x:v>撤权 1 次</x:v>
      </x:c>
      <x:c r="J165" s="24" t="str">
        <x:v>任务立即暂停，继续禁用</x:v>
      </x:c>
      <x:c r="K165" s="24" t="str">
        <x:v>任务权限已被撤销，执行已暂停，未完成步骤不会继续。</x:v>
      </x:c>
      <x:c r="L165" s="24" t="str">
        <x:v>状态弹窗</x:v>
      </x:c>
      <x:c r="M165" s="24" t="str">
        <x:v>待实操；期望停止后续访问，不缓存使用已撤销凭证</x:v>
      </x:c>
      <x:c r="N165" s="24" t="str">
        <x:v>无</x:v>
      </x:c>
      <x:c r="O165" s="24" t="str">
        <x:v>权限变更与任务终止关联</x:v>
      </x:c>
      <x:c r="P165" s="24" t="str">
        <x:v>重新授权并人工确认</x:v>
      </x:c>
      <x:c r="Q165" s="24" t="str">
        <x:v>待补 AGT-007</x:v>
      </x:c>
      <x:c r="R165" s="24" t="str"/>
    </x:row>
    <x:row r="166" ht="68" customHeight="1">
      <x:c r="A166" s="25" t="str">
        <x:v>MCP-001</x:v>
      </x:c>
      <x:c r="B166" s="25" t="str">
        <x:v>Agent与MCP</x:v>
      </x:c>
      <x:c r="C166" s="25" t="str">
        <x:v>待实操</x:v>
      </x:c>
      <x:c r="D166" s="25" t="str">
        <x:v>P0</x:v>
      </x:c>
      <x:c r="E166" s="24" t="str">
        <x:v>管理员</x:v>
      </x:c>
      <x:c r="F166" s="24" t="str">
        <x:v>当前客户端</x:v>
      </x:c>
      <x:c r="G166" s="24" t="str">
        <x:v>MCP 服务地址/IP</x:v>
      </x:c>
      <x:c r="H166" s="24" t="str">
        <x:v>地址错误、TLS 失败或不可达</x:v>
      </x:c>
      <x:c r="I166" s="24" t="str">
        <x:v>测试连接 3 次</x:v>
      </x:c>
      <x:c r="J166" s="24" t="str">
        <x:v>Loading，失败后恢复</x:v>
      </x:c>
      <x:c r="K166" s="24" t="str">
        <x:v>MCP 服务连接失败：{可理解原因}。请检查地址、证书和网络。</x:v>
      </x:c>
      <x:c r="L166" s="24" t="str">
        <x:v>测试结果弹窗</x:v>
      </x:c>
      <x:c r="M166" s="24" t="str">
        <x:v>待实操；期望不保存为可用状态，不启动工具调用</x:v>
      </x:c>
      <x:c r="N166" s="24" t="str">
        <x:v>3s</x:v>
      </x:c>
      <x:c r="O166" s="24" t="str">
        <x:v>主机和错误码，不记完整查询参数</x:v>
      </x:c>
      <x:c r="P166" s="24" t="str">
        <x:v>修正后重测</x:v>
      </x:c>
      <x:c r="Q166" s="24" t="str">
        <x:v>待补 MCP-001</x:v>
      </x:c>
      <x:c r="R166" s="24" t="str"/>
    </x:row>
    <x:row r="167" ht="68" customHeight="1">
      <x:c r="A167" s="25" t="str">
        <x:v>MCP-002</x:v>
      </x:c>
      <x:c r="B167" s="25" t="str">
        <x:v>Agent与MCP</x:v>
      </x:c>
      <x:c r="C167" s="25" t="str">
        <x:v>待实操</x:v>
      </x:c>
      <x:c r="D167" s="25" t="str">
        <x:v>P0</x:v>
      </x:c>
      <x:c r="E167" s="24" t="str">
        <x:v>管理员</x:v>
      </x:c>
      <x:c r="F167" s="24" t="str">
        <x:v>当前客户端</x:v>
      </x:c>
      <x:c r="G167" s="24" t="str">
        <x:v>MCP 服务/IP</x:v>
      </x:c>
      <x:c r="H167" s="24" t="str">
        <x:v>密钥错误或运行中撤销</x:v>
      </x:c>
      <x:c r="I167" s="24" t="str">
        <x:v>测试 1 次、运行中撤销 1 次</x:v>
      </x:c>
      <x:c r="J167" s="24" t="str">
        <x:v>鉴权失败时运行禁用</x:v>
      </x:c>
      <x:c r="K167" s="24" t="str">
        <x:v>MCP 身份验证失败，凭证无效或已被撤销。</x:v>
      </x:c>
      <x:c r="L167" s="24" t="str">
        <x:v>错误弹窗</x:v>
      </x:c>
      <x:c r="M167" s="24" t="str">
        <x:v>待实操；期望密钥全程掩码，撤销后停止新调用</x:v>
      </x:c>
      <x:c r="N167" s="24" t="str">
        <x:v>连续失败 5 次后 60s</x:v>
      </x:c>
      <x:c r="O167" s="24" t="str">
        <x:v>安全日志记失败次数，不记密钥</x:v>
      </x:c>
      <x:c r="P167" s="24" t="str">
        <x:v>更新凭证</x:v>
      </x:c>
      <x:c r="Q167" s="24" t="str">
        <x:v>待补 MCP-002</x:v>
      </x:c>
      <x:c r="R167" s="24" t="str"/>
    </x:row>
    <x:row r="168" ht="68" customHeight="1">
      <x:c r="A168" s="25" t="str">
        <x:v>SUP-001</x:v>
      </x:c>
      <x:c r="B168" s="25" t="str">
        <x:v>客服与帮助</x:v>
      </x:c>
      <x:c r="C168" s="25" t="str">
        <x:v>待实操</x:v>
      </x:c>
      <x:c r="D168" s="25" t="str">
        <x:v>P1</x:v>
      </x:c>
      <x:c r="E168" s="24" t="str">
        <x:v>任意用户</x:v>
      </x:c>
      <x:c r="F168" s="24" t="str">
        <x:v>官网/当前客户端</x:v>
      </x:c>
      <x:c r="G168" s="24" t="str">
        <x:v>任意网络/IP</x:v>
      </x:c>
      <x:c r="H168" s="24" t="str">
        <x:v>文章不存在、下线或网络失败</x:v>
      </x:c>
      <x:c r="I168" s="24" t="str">
        <x:v>打开和刷新各 3 次</x:v>
      </x:c>
      <x:c r="J168" s="24" t="str">
        <x:v>重试、返回目录可用</x:v>
      </x:c>
      <x:c r="K168" s="24" t="str">
        <x:v>该帮助内容暂时无法加载，可能已更新或网络不可用。</x:v>
      </x:c>
      <x:c r="L168" s="24" t="str">
        <x:v>错误页</x:v>
      </x:c>
      <x:c r="M168" s="24" t="str">
        <x:v>待实操；期望不显示空白页，提供搜索、目录和客服</x:v>
      </x:c>
      <x:c r="N168" s="24" t="str">
        <x:v>3s</x:v>
      </x:c>
      <x:c r="O168" s="24" t="str">
        <x:v>文章 ID、错误码</x:v>
      </x:c>
      <x:c r="P168" s="24" t="str">
        <x:v>重试或转客服</x:v>
      </x:c>
      <x:c r="Q168" s="24" t="str">
        <x:v>待补 SUP-001</x:v>
      </x:c>
      <x:c r="R168" s="24" t="str"/>
    </x:row>
    <x:row r="169" ht="68" customHeight="1">
      <x:c r="A169" s="25" t="str">
        <x:v>SUP-002</x:v>
      </x:c>
      <x:c r="B169" s="25" t="str">
        <x:v>客服与帮助</x:v>
      </x:c>
      <x:c r="C169" s="25" t="str">
        <x:v>待实操</x:v>
      </x:c>
      <x:c r="D169" s="25" t="str">
        <x:v>P1</x:v>
      </x:c>
      <x:c r="E169" s="24" t="str">
        <x:v>任意用户</x:v>
      </x:c>
      <x:c r="F169" s="24" t="str">
        <x:v>官网/当前客户端</x:v>
      </x:c>
      <x:c r="G169" s="24" t="str">
        <x:v>当前设备/IP</x:v>
      </x:c>
      <x:c r="H169" s="24" t="str">
        <x:v>反馈为空、超长或联系方式非法</x:v>
      </x:c>
      <x:c r="I169" s="24" t="str">
        <x:v>连续提交 2 次</x:v>
      </x:c>
      <x:c r="J169" s="24" t="str">
        <x:v>校验失败后恢复</x:v>
      </x:c>
      <x:c r="K169" s="24" t="str">
        <x:v>请填写问题描述，并提供有效的联系方式。</x:v>
      </x:c>
      <x:c r="L169" s="24" t="str">
        <x:v>字段错误</x:v>
      </x:c>
      <x:c r="M169" s="24" t="str">
        <x:v>待实操；期望不生成无效工单，保留合法内容</x:v>
      </x:c>
      <x:c r="N169" s="24" t="str">
        <x:v>无</x:v>
      </x:c>
      <x:c r="O169" s="24" t="str">
        <x:v>校验结果</x:v>
      </x:c>
      <x:c r="P169" s="24" t="str">
        <x:v>修改后提交</x:v>
      </x:c>
      <x:c r="Q169" s="24" t="str">
        <x:v>待补 SUP-002</x:v>
      </x:c>
      <x:c r="R169" s="24" t="str"/>
    </x:row>
    <x:row r="170" ht="68" customHeight="1">
      <x:c r="A170" s="25" t="str">
        <x:v>SUP-003</x:v>
      </x:c>
      <x:c r="B170" s="25" t="str">
        <x:v>客服与帮助</x:v>
      </x:c>
      <x:c r="C170" s="25" t="str">
        <x:v>待实操</x:v>
      </x:c>
      <x:c r="D170" s="25" t="str">
        <x:v>P0</x:v>
      </x:c>
      <x:c r="E170" s="24" t="str">
        <x:v>运营成员</x:v>
      </x:c>
      <x:c r="F170" s="24" t="str">
        <x:v>当前客户端</x:v>
      </x:c>
      <x:c r="G170" s="24" t="str">
        <x:v>平台设备/IP</x:v>
      </x:c>
      <x:c r="H170" s="24" t="str">
        <x:v>附件超限或含日志/Cookie</x:v>
      </x:c>
      <x:c r="I170" s="24" t="str">
        <x:v>上传 2 个异常附件</x:v>
      </x:c>
      <x:c r="J170" s="24" t="str">
        <x:v>上传中禁用；阻断后可删除</x:v>
      </x:c>
      <x:c r="K170" s="24" t="str">
        <x:v>附件可能包含账号、Cookie 或本地路径等敏感信息，请确认脱敏后再提交。</x:v>
      </x:c>
      <x:c r="L170" s="24" t="str">
        <x:v>风险确认弹窗</x:v>
      </x:c>
      <x:c r="M170" s="24" t="str">
        <x:v>待实操；期望超限拒绝，敏感文件需明确确认</x:v>
      </x:c>
      <x:c r="N170" s="24" t="str">
        <x:v>无</x:v>
      </x:c>
      <x:c r="O170" s="24" t="str">
        <x:v>文件摘要、大小、确认人</x:v>
      </x:c>
      <x:c r="P170" s="24" t="str">
        <x:v>脱敏或删除附件</x:v>
      </x:c>
      <x:c r="Q170" s="24" t="str">
        <x:v>待补 SUP-003</x:v>
      </x:c>
      <x:c r="R170" s="24" t="str"/>
    </x:row>
    <x:row r="171" ht="68" customHeight="1">
      <x:c r="A171" s="25" t="str">
        <x:v>SUP-004</x:v>
      </x:c>
      <x:c r="B171" s="25" t="str">
        <x:v>客服与帮助</x:v>
      </x:c>
      <x:c r="C171" s="25" t="str">
        <x:v>待实操</x:v>
      </x:c>
      <x:c r="D171" s="25" t="str">
        <x:v>P0</x:v>
      </x:c>
      <x:c r="E171" s="24" t="str">
        <x:v>任意用户</x:v>
      </x:c>
      <x:c r="F171" s="24" t="str">
        <x:v>官网/当前客户端</x:v>
      </x:c>
      <x:c r="G171" s="24" t="str">
        <x:v>弱网/IP</x:v>
      </x:c>
      <x:c r="H171" s="24" t="str">
        <x:v>提交成功但响应丢失</x:v>
      </x:c>
      <x:c r="I171" s="24" t="str">
        <x:v>连击提交 3 次</x:v>
      </x:c>
      <x:c r="J171" s="24" t="str">
        <x:v>首次后禁用并显示提交中</x:v>
      </x:c>
      <x:c r="K171" s="24" t="str">
        <x:v>反馈正在提交，请勿重复操作。</x:v>
      </x:c>
      <x:c r="L171" s="24" t="str">
        <x:v>Toast</x:v>
      </x:c>
      <x:c r="M171" s="24" t="str">
        <x:v>待实操；期望只生成 1 个工单并返回唯一编号</x:v>
      </x:c>
      <x:c r="N171" s="24" t="str">
        <x:v>请求结束或 15s</x:v>
      </x:c>
      <x:c r="O171" s="24" t="str">
        <x:v>工单去重；成功只通知 1 次</x:v>
      </x:c>
      <x:c r="P171" s="24" t="str">
        <x:v>按编号查询</x:v>
      </x:c>
      <x:c r="Q171" s="24" t="str">
        <x:v>待补 SUP-004</x:v>
      </x:c>
      <x:c r="R171" s="24" t="str"/>
    </x:row>
    <x:row r="172" ht="68" customHeight="1">
      <x:c r="A172" s="25" t="str">
        <x:v>SUP-005</x:v>
      </x:c>
      <x:c r="B172" s="25" t="str">
        <x:v>客服与帮助</x:v>
      </x:c>
      <x:c r="C172" s="25" t="str">
        <x:v>待实操</x:v>
      </x:c>
      <x:c r="D172" s="25" t="str">
        <x:v>P0</x:v>
      </x:c>
      <x:c r="E172" s="24" t="str">
        <x:v>店铺管理员</x:v>
      </x:c>
      <x:c r="F172" s="24" t="str">
        <x:v>当前客户端</x:v>
      </x:c>
      <x:c r="G172" s="24" t="str">
        <x:v>平台设备/IP</x:v>
      </x:c>
      <x:c r="H172" s="24" t="str">
        <x:v>准备临时授权客服</x:v>
      </x:c>
      <x:c r="I172" s="24" t="str">
        <x:v>设范围和期限后授权</x:v>
      </x:c>
      <x:c r="J172" s="24" t="str">
        <x:v>未选期限时确认禁用</x:v>
      </x:c>
      <x:c r="K172" s="24" t="str">
        <x:v>客服将在 {开始时间}-{结束时间} 访问以下店铺和数据：{范围}。到期后自动撤销。</x:v>
      </x:c>
      <x:c r="L172" s="24" t="str">
        <x:v>高风险确认弹窗</x:v>
      </x:c>
      <x:c r="M172" s="24" t="str">
        <x:v>待实操；期望最小范围、强制到期、支持立即撤销</x:v>
      </x:c>
      <x:c r="N172" s="24" t="str">
        <x:v>撤销立即生效</x:v>
      </x:c>
      <x:c r="O172" s="24" t="str">
        <x:v>授权、访问、撤销全量审计；站内信</x:v>
      </x:c>
      <x:c r="P172" s="24" t="str">
        <x:v>可随时撤销</x:v>
      </x:c>
      <x:c r="Q172" s="24" t="str">
        <x:v>待补 SUP-005</x:v>
      </x:c>
      <x:c r="R172" s="24" t="str"/>
    </x:row>
    <x:row r="173" ht="68" customHeight="1">
      <x:c r="A173" s="25" t="str">
        <x:v>SUP-006</x:v>
      </x:c>
      <x:c r="B173" s="25" t="str">
        <x:v>客服与帮助</x:v>
      </x:c>
      <x:c r="C173" s="25" t="str">
        <x:v>待实操</x:v>
      </x:c>
      <x:c r="D173" s="25" t="str">
        <x:v>P1</x:v>
      </x:c>
      <x:c r="E173" s="24" t="str">
        <x:v>任意用户</x:v>
      </x:c>
      <x:c r="F173" s="24" t="str">
        <x:v>官网/当前客户端</x:v>
      </x:c>
      <x:c r="G173" s="24" t="str">
        <x:v>任意网络/IP</x:v>
      </x:c>
      <x:c r="H173" s="24" t="str">
        <x:v>客服离线或产品上下文错误</x:v>
      </x:c>
      <x:c r="I173" s="24" t="str">
        <x:v>连续咨询 2 次</x:v>
      </x:c>
      <x:c r="J173" s="24" t="str">
        <x:v>离线转留言</x:v>
      </x:c>
      <x:c r="K173" s="24" t="str">
        <x:v>当前暂无在线客服。请提交问题，我们将在服务时间内回复。</x:v>
      </x:c>
      <x:c r="L173" s="24" t="str">
        <x:v>离线弹窗</x:v>
      </x:c>
      <x:c r="M173" s="24" t="str">
        <x:v>待实操；期望携带产品、页面、账号和问题分类，避免串线</x:v>
      </x:c>
      <x:c r="N173" s="24" t="str">
        <x:v>60s 防重复</x:v>
      </x:c>
      <x:c r="O173" s="24" t="str">
        <x:v>留言工单；站内信</x:v>
      </x:c>
      <x:c r="P173" s="24" t="str">
        <x:v>等待回复或查帮助</x:v>
      </x:c>
      <x:c r="Q173" s="24" t="str">
        <x:v>待补 SUP-006</x:v>
      </x:c>
      <x:c r="R173" s="24" t="str"/>
    </x:row>
    <x:row r="174" ht="68" customHeight="1">
      <x:c r="A174" s="25" t="str">
        <x:v>MOB-001</x:v>
      </x:c>
      <x:c r="B174" s="25" t="str">
        <x:v>移动与可靠性</x:v>
      </x:c>
      <x:c r="C174" s="25" t="str">
        <x:v>待实操</x:v>
      </x:c>
      <x:c r="D174" s="25" t="str">
        <x:v>P0</x:v>
      </x:c>
      <x:c r="E174" s="24" t="str">
        <x:v>未激活子账号</x:v>
      </x:c>
      <x:c r="F174" s="24" t="str">
        <x:v>小程序当前版本</x:v>
      </x:c>
      <x:c r="G174" s="24" t="str">
        <x:v>手机/4G IP</x:v>
      </x:c>
      <x:c r="H174" s="24" t="str">
        <x:v>未在 PC 激活或未绑手机</x:v>
      </x:c>
      <x:c r="I174" s="24" t="str">
        <x:v>登录 2 次</x:v>
      </x:c>
      <x:c r="J174" s="24" t="str">
        <x:v>校验后显示处理入口</x:v>
      </x:c>
      <x:c r="K174" s="24" t="str">
        <x:v>该成员尚未完成 PC 端激活或手机绑定，请先完成后再使用移动端。</x:v>
      </x:c>
      <x:c r="L174" s="24" t="str">
        <x:v>阻断弹窗</x:v>
      </x:c>
      <x:c r="M174" s="24" t="str">
        <x:v>待实操；期望不创建移动会话、不泄露店铺信息</x:v>
      </x:c>
      <x:c r="N174" s="24" t="str">
        <x:v>验证码 60s</x:v>
      </x:c>
      <x:c r="O174" s="24" t="str">
        <x:v>登录失败；必要时通知管理员</x:v>
      </x:c>
      <x:c r="P174" s="24" t="str">
        <x:v>PC 激活并绑手机</x:v>
      </x:c>
      <x:c r="Q174" s="24" t="str">
        <x:v>待补 MOB-001</x:v>
      </x:c>
      <x:c r="R174" s="24" t="str"/>
    </x:row>
    <x:row r="175" ht="68" customHeight="1">
      <x:c r="A175" s="25" t="str">
        <x:v>MOB-002</x:v>
      </x:c>
      <x:c r="B175" s="25" t="str">
        <x:v>移动与可靠性</x:v>
      </x:c>
      <x:c r="C175" s="25" t="str">
        <x:v>待实操</x:v>
      </x:c>
      <x:c r="D175" s="25" t="str">
        <x:v>P1</x:v>
      </x:c>
      <x:c r="E175" s="24" t="str">
        <x:v>已登录成员</x:v>
      </x:c>
      <x:c r="F175" s="24" t="str">
        <x:v>小程序当前版本</x:v>
      </x:c>
      <x:c r="G175" s="24" t="str">
        <x:v>手机/Wi-Fi</x:v>
      </x:c>
      <x:c r="H175" s="24" t="str">
        <x:v>登录会话或二维码过期</x:v>
      </x:c>
      <x:c r="I175" s="24" t="str">
        <x:v>后台 10 分钟后继续</x:v>
      </x:c>
      <x:c r="J175" s="24" t="str">
        <x:v>原操作禁用，重新登录可用</x:v>
      </x:c>
      <x:c r="K175" s="24" t="str">
        <x:v>登录状态已过期，请重新验证身份。</x:v>
      </x:c>
      <x:c r="L175" s="24" t="str">
        <x:v>登录弹窗</x:v>
      </x:c>
      <x:c r="M175" s="24" t="str">
        <x:v>待实操；期望清除旧会话，不丢非敏感页面位置</x:v>
      </x:c>
      <x:c r="N175" s="24" t="str">
        <x:v>验证码 60s</x:v>
      </x:c>
      <x:c r="O175" s="24" t="str">
        <x:v>会话过期；异常登录可发短信</x:v>
      </x:c>
      <x:c r="P175" s="24" t="str">
        <x:v>重新登录</x:v>
      </x:c>
      <x:c r="Q175" s="24" t="str">
        <x:v>待补 MOB-002</x:v>
      </x:c>
      <x:c r="R175" s="24" t="str"/>
    </x:row>
    <x:row r="176" ht="68" customHeight="1">
      <x:c r="A176" s="25" t="str">
        <x:v>MOB-003</x:v>
      </x:c>
      <x:c r="B176" s="25" t="str">
        <x:v>移动与可靠性</x:v>
      </x:c>
      <x:c r="C176" s="25" t="str">
        <x:v>待实操</x:v>
      </x:c>
      <x:c r="D176" s="25" t="str">
        <x:v>P0</x:v>
      </x:c>
      <x:c r="E176" s="24" t="str">
        <x:v>运营成员</x:v>
      </x:c>
      <x:c r="F176" s="24" t="str">
        <x:v>小程序当前版本</x:v>
      </x:c>
      <x:c r="G176" s="24" t="str">
        <x:v>手机/过期平台设备 IP</x:v>
      </x:c>
      <x:c r="H176" s="24" t="str">
        <x:v>有店铺授权但设备已过期</x:v>
      </x:c>
      <x:c r="I176" s="24" t="str">
        <x:v>远程启动 2 次</x:v>
      </x:c>
      <x:c r="J176" s="24" t="str">
        <x:v>启动禁用或校验后停止</x:v>
      </x:c>
      <x:c r="K176" s="24" t="str">
        <x:v>店铺绑定的设备已失效，暂时无法启动。请联系管理员续费或更换设备。</x:v>
      </x:c>
      <x:c r="L176" s="24" t="str">
        <x:v>阻断弹窗</x:v>
      </x:c>
      <x:c r="M176" s="24" t="str">
        <x:v>待实操；期望不打开无网络环境，并提供管理员路径</x:v>
      </x:c>
      <x:c r="N176" s="24" t="str">
        <x:v>无</x:v>
      </x:c>
      <x:c r="O176" s="24" t="str">
        <x:v>店铺、设备状态；站内信管理员</x:v>
      </x:c>
      <x:c r="P176" s="24" t="str">
        <x:v>续费或换设备</x:v>
      </x:c>
      <x:c r="Q176" s="24" t="str">
        <x:v>待补 MOB-003</x:v>
      </x:c>
      <x:c r="R176" s="24" t="str"/>
    </x:row>
    <x:row r="177" ht="68" customHeight="1">
      <x:c r="A177" s="25" t="str">
        <x:v>MOB-004</x:v>
      </x:c>
      <x:c r="B177" s="25" t="str">
        <x:v>移动与可靠性</x:v>
      </x:c>
      <x:c r="C177" s="25" t="str">
        <x:v>待实操</x:v>
      </x:c>
      <x:c r="D177" s="25" t="str">
        <x:v>P0</x:v>
      </x:c>
      <x:c r="E177" s="24" t="str">
        <x:v>两名运营成员</x:v>
      </x:c>
      <x:c r="F177" s="24" t="str">
        <x:v>小程序 + 当前桌面客户端</x:v>
      </x:c>
      <x:c r="G177" s="24" t="str">
        <x:v>同店铺/同 IP</x:v>
      </x:c>
      <x:c r="H177" s="24" t="str">
        <x:v>店铺并发名额已满</x:v>
      </x:c>
      <x:c r="I177" s="24" t="str">
        <x:v>桌面与移动同时启动</x:v>
      </x:c>
      <x:c r="J177" s="24" t="str">
        <x:v>后发起端停止 Loading</x:v>
      </x:c>
      <x:c r="K177" s="24" t="str">
        <x:v>该店铺当前使用人数已达上限，请稍后重试。</x:v>
      </x:c>
      <x:c r="L177" s="24" t="str">
        <x:v>Toast/弹窗</x:v>
      </x:c>
      <x:c r="M177" s="24" t="str">
        <x:v>待实操；期望不超并发，不无提示踢出既有会话</x:v>
      </x:c>
      <x:c r="N177" s="24" t="str">
        <x:v>建议 5s 后重试</x:v>
      </x:c>
      <x:c r="O177" s="24" t="str">
        <x:v>会话占用、拒绝原因</x:v>
      </x:c>
      <x:c r="P177" s="24" t="str">
        <x:v>释放名额后重试</x:v>
      </x:c>
      <x:c r="Q177" s="24" t="str">
        <x:v>待补 MOB-004</x:v>
      </x:c>
      <x:c r="R177" s="24" t="str"/>
    </x:row>
    <x:row r="178" ht="68" customHeight="1">
      <x:c r="A178" s="25" t="str">
        <x:v>REL-001</x:v>
      </x:c>
      <x:c r="B178" s="25" t="str">
        <x:v>移动与可靠性</x:v>
      </x:c>
      <x:c r="C178" s="25" t="str">
        <x:v>待实操</x:v>
      </x:c>
      <x:c r="D178" s="25" t="str">
        <x:v>P0</x:v>
      </x:c>
      <x:c r="E178" s="24" t="str">
        <x:v>任意登录用户</x:v>
      </x:c>
      <x:c r="F178" s="24" t="str">
        <x:v>桌面客户端/小程序当前版本</x:v>
      </x:c>
      <x:c r="G178" s="24" t="str">
        <x:v>Wi-Fi 切 4G</x:v>
      </x:c>
      <x:c r="H178" s="24" t="str">
        <x:v>表单提交或任务执行中</x:v>
      </x:c>
      <x:c r="I178" s="24" t="str">
        <x:v>断网 30 秒后恢复</x:v>
      </x:c>
      <x:c r="J178" s="24" t="str">
        <x:v>显示重连中，不允许重复提交</x:v>
      </x:c>
      <x:c r="K178" s="24" t="str">
        <x:v>网络连接已中断，正在尝试恢复。请勿重复操作。</x:v>
      </x:c>
      <x:c r="L178" s="24" t="str">
        <x:v>顶部持续状态条</x:v>
      </x:c>
      <x:c r="M178" s="24" t="str">
        <x:v>待实操；期望恢复后查询原请求，不重复写入</x:v>
      </x:c>
      <x:c r="N178" s="24" t="str">
        <x:v>指数退避，最长 60s</x:v>
      </x:c>
      <x:c r="O178" s="24" t="str">
        <x:v>断网、重连、最终状态</x:v>
      </x:c>
      <x:c r="P178" s="24" t="str">
        <x:v>自动恢复或人工重试</x:v>
      </x:c>
      <x:c r="Q178" s="24" t="str">
        <x:v>待补 REL-001</x:v>
      </x:c>
      <x:c r="R178" s="24" t="str"/>
    </x:row>
    <x:row r="179" ht="68" customHeight="1">
      <x:c r="A179" s="25" t="str">
        <x:v>REL-002</x:v>
      </x:c>
      <x:c r="B179" s="25" t="str">
        <x:v>移动与可靠性</x:v>
      </x:c>
      <x:c r="C179" s="25" t="str">
        <x:v>待实操</x:v>
      </x:c>
      <x:c r="D179" s="25" t="str">
        <x:v>P0</x:v>
      </x:c>
      <x:c r="E179" s="24" t="str">
        <x:v>任意登录用户</x:v>
      </x:c>
      <x:c r="F179" s="24" t="str">
        <x:v>当前桌面客户端</x:v>
      </x:c>
      <x:c r="G179" s="24" t="str">
        <x:v>当前设备/IP</x:v>
      </x:c>
      <x:c r="H179" s="24" t="str">
        <x:v>关键表单已填写</x:v>
      </x:c>
      <x:c r="I179" s="24" t="str">
        <x:v>强制退出/崩溃/升级重启各 1 次</x:v>
      </x:c>
      <x:c r="J179" s="24" t="str">
        <x:v>重启后提供恢复草稿</x:v>
      </x:c>
      <x:c r="K179" s="24" t="str">
        <x:v>检测到上次操作未完成，已恢复草稿。请确认后重新提交。</x:v>
      </x:c>
      <x:c r="L179" s="24" t="str">
        <x:v>恢复弹窗</x:v>
      </x:c>
      <x:c r="M179" s="24" t="str">
        <x:v>待实操；期望只恢复非敏感字段，支付/授权等动作不自动重放</x:v>
      </x:c>
      <x:c r="N179" s="24" t="str">
        <x:v>无</x:v>
      </x:c>
      <x:c r="O179" s="24" t="str">
        <x:v>崩溃、恢复日志</x:v>
      </x:c>
      <x:c r="P179" s="24" t="str">
        <x:v>确认后继续</x:v>
      </x:c>
      <x:c r="Q179" s="24" t="str">
        <x:v>待补 REL-002</x:v>
      </x:c>
      <x:c r="R179" s="24" t="str"/>
    </x:row>
  </x:sheetData>
  <x:mergeCells>
    <x:mergeCell ref="A1:R1"/>
    <x:mergeCell ref="A2:R2"/>
  </x:mergeCells>
  <x:conditionalFormatting sqref="C5:C179">
    <x:cfRule type="containsText" dxfId="36" priority="1" operator="containsText" text="已实操"/>
    <x:cfRule type="containsText" dxfId="37" priority="2" operator="containsText" text="待实操"/>
    <x:cfRule type="containsText" dxfId="38" priority="3" operator="containsText" text="部分实操"/>
  </x:conditionalFormatting>
  <x:conditionalFormatting sqref="D5:D179">
    <x:cfRule type="containsText" dxfId="39" priority="4" operator="containsText" text="P0"/>
    <x:cfRule type="containsText" dxfId="40" priority="5" operator="containsText" text="P1"/>
    <x:cfRule type="containsText" dxfId="41" priority="6" operator="containsText" text="P2"/>
  </x:conditionalFormatting>
  <x:dataValidations count="2">
    <x:dataValidation type="list" sqref="C5:C179">
      <x:formula1>"待实操,部分实操,已实操,已实操，重点"</x:formula1>
    </x:dataValidation>
    <x:dataValidation type="list" sqref="D5:D179">
      <x:formula1>"P0,P1,P2"</x:formula1>
    </x:dataValidation>
  </x:dataValidations>
  <x:pageMargins left="0.7" right="0.7" top="0.75" bottom="0.75" header="0.3" footer="0.3"/>
  <x:tableParts count="1">
    <x:tablePart xmlns:r="http://schemas.openxmlformats.org/officeDocument/2006/relationships" r:id="R3d35b913bede481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44" hidden="0" customWidth="1"/>
    <x:col min="3" max="3" width="54" hidden="0" customWidth="1"/>
    <x:col min="4" max="4" width="54" hidden="0" customWidth="1"/>
  </x:cols>
  <x:sheetData>
    <x:row r="1" ht="32" customHeight="1">
      <x:c r="A1" s="3" t="str">
        <x:v>当前重点产品问题与建议</x:v>
      </x:c>
      <x:c r="B1" s="3"/>
      <x:c r="C1" s="3"/>
      <x:c r="D1" s="3"/>
    </x:row>
    <x:row r="2" ht="34" customHeight="1">
      <x:c r="A2" s="7" t="str">
        <x:v>按优先级汇总当前问题、产品建议和验收标准，共 10 条。</x:v>
      </x:c>
      <x:c r="B2" s="7"/>
      <x:c r="C2" s="7"/>
      <x:c r="D2" s="7"/>
    </x:row>
    <x:row r="4">
      <x:c r="A4" s="104" t="str">
        <x:v>优先级</x:v>
      </x:c>
      <x:c r="B4" s="104" t="str">
        <x:v>当前问题</x:v>
      </x:c>
      <x:c r="C4" s="104" t="str">
        <x:v>产品建议</x:v>
      </x:c>
      <x:c r="D4" s="104" t="str">
        <x:v>验收标准</x:v>
      </x:c>
    </x:row>
    <x:row r="5" ht="72" customHeight="1">
      <x:c r="A5" s="119" t="str">
        <x:v>P0</x:v>
      </x:c>
      <x:c r="B5" s="118" t="str">
        <x:v>下载按钮 56 次连续操作没有可见防重复反馈</x:v>
      </x:c>
      <x:c r="C5" s="118" t="str">
        <x:v>同版本同会话合并下载任务，按钮进入 Loading/已开始状态；服务端和 CDN 做异常频率监控</x:v>
      </x:c>
      <x:c r="D5" s="118" t="str">
        <x:v>100 次点击最多产生 1 个有效前端任务；重新下载有明确入口；不影响正常下载</x:v>
      </x:c>
    </x:row>
    <x:row r="6" ht="72" customHeight="1">
      <x:c r="A6" s="119" t="str">
        <x:v>P0</x:v>
      </x:c>
      <x:c r="B6" s="118" t="str">
        <x:v>同号串行取码当前样本只表现 60 秒冷却，未见累计限制或人机验证</x:v>
      </x:c>
      <x:c r="C6" s="118" t="str">
        <x:v>增加手机号、设备、IP、时间窗和风险分联合策略，达到阈值后显示准确恢复时间</x:v>
      </x:c>
      <x:c r="D6" s="118" t="str">
        <x:v>阈值前正常；阈值后所有注册入口一致拦截；刷新、换入口不能绕过</x:v>
      </x:c>
    </x:row>
    <x:row r="7" ht="72" customHeight="1">
      <x:c r="A7" s="119" t="str">
        <x:v>P0</x:v>
      </x:c>
      <x:c r="B7" s="118" t="str">
        <x:v>同号跨入口并发只提示短信验证码发送频繁，未说明等待时长</x:v>
      </x:c>
      <x:c r="C7" s="118" t="str">
        <x:v>注册页、弹窗、客户端共享服务端倒计时；文案包含剩余秒数</x:v>
      </x:c>
      <x:c r="D7" s="118" t="str">
        <x:v>所有入口按钮同步；只发送 1 条短信；页面明确显示恢复时间</x:v>
      </x:c>
    </x:row>
    <x:row r="8" ht="72" customHeight="1">
      <x:c r="A8" s="119" t="str">
        <x:v>P1</x:v>
      </x:c>
      <x:c r="B8" s="118" t="str">
        <x:v>官网与客户端对手机号码、验证码、协议使用不同文案</x:v>
      </x:c>
      <x:c r="C8" s="118" t="str">
        <x:v>建立统一错误码与文案字典，区分空值、格式错误、业务冲突和风控限制</x:v>
      </x:c>
      <x:c r="D8" s="118" t="str">
        <x:v>同一错误码在官网/客户端语义一致，正式协议名一致</x:v>
      </x:c>
    </x:row>
    <x:row r="9" ht="72" customHeight="1">
      <x:c r="A9" s="119" t="str">
        <x:v>P1</x:v>
      </x:c>
      <x:c r="B9" s="118" t="str">
        <x:v>重复注册文案疑似存在更滑手机号错别字</x:v>
      </x:c>
      <x:c r="C9" s="118" t="str">
        <x:v>改为该手机号码已注册，请直接登录或更换手机号码</x:v>
      </x:c>
      <x:c r="D9" s="118" t="str">
        <x:v>所有入口无错别字，按钮直接提供登录路径</x:v>
      </x:c>
    </x:row>
    <x:row r="10" ht="72" customHeight="1">
      <x:c r="A10" s="119" t="str">
        <x:v>P0</x:v>
      </x:c>
      <x:c r="B10" s="118" t="str">
        <x:v>移动端注册弹窗越界，遮罩和 Esc 无法关闭</x:v>
      </x:c>
      <x:c r="C10" s="118" t="str">
        <x:v>响应式弹窗、固定可见关闭按钮，并支持遮罩/系统返回退出</x:v>
      </x:c>
      <x:c r="D10" s="118" t="str">
        <x:v>320px 以上视口无横向滚动，所有字段和按钮可达</x:v>
      </x:c>
    </x:row>
    <x:row r="11" ht="72" customHeight="1">
      <x:c r="A11" s="119" t="str">
        <x:v>P1</x:v>
      </x:c>
      <x:c r="B11" s="118" t="str">
        <x:v>轮播 CTA 视觉可点击但无响应</x:v>
      </x:c>
      <x:c r="C11" s="118" t="str">
        <x:v>无目标时隐藏 CTA；目标失效时展示可解释状态</x:v>
      </x:c>
      <x:c r="D11" s="118" t="str">
        <x:v>每个 CTA 均有有效目标或明确不可用提示</x:v>
      </x:c>
    </x:row>
    <x:row r="12" ht="72" customHeight="1">
      <x:c r="A12" s="119" t="str">
        <x:v>P0</x:v>
      </x:c>
      <x:c r="B12" s="118" t="str">
        <x:v>多数高风险操作缺少统一的幂等、影响清单与恢复口径</x:v>
      </x:c>
      <x:c r="C12" s="118" t="str">
        <x:v>订单、启动、授权、删除、换 IP、Agent 任务统一使用业务幂等键和结果查询</x:v>
      </x:c>
      <x:c r="D12" s="118" t="str">
        <x:v>重复点击/超时重试不产生重复对象、扣款或权限变更</x:v>
      </x:c>
    </x:row>
    <x:row r="13" ht="72" customHeight="1">
      <x:c r="A13" s="119" t="str">
        <x:v>P0</x:v>
      </x:c>
      <x:c r="B13" s="118" t="str">
        <x:v>权限由角色、部门、对象、凭证和策略多层交集决定，错误反馈容易只显示“无权限”</x:v>
      </x:c>
      <x:c r="C13" s="118" t="str">
        <x:v>错误提示显示缺失的权限层级，但不泄露无权对象敏感详情</x:v>
      </x:c>
      <x:c r="D13" s="118" t="str">
        <x:v>管理员可在审计日志中定位拒绝层；普通成员获得可执行申请路径</x:v>
      </x:c>
    </x:row>
    <x:row r="14" ht="72" customHeight="1">
      <x:c r="A14" s="119" t="str">
        <x:v>P0</x:v>
      </x:c>
      <x:c r="B14" s="118" t="str">
        <x:v>支付、交付、续费和设备状态是异步链路</x:v>
      </x:c>
      <x:c r="C14" s="118" t="str">
        <x:v>每个阶段独立状态化，并提供查单、对账、催交付、补偿或人工处理入口</x:v>
      </x:c>
      <x:c r="D14" s="118" t="str">
        <x:v>不出现重复扣款、已扣款无订单、重复续期或无状态等待</x:v>
      </x:c>
    </x:row>
  </x:sheetData>
  <x:mergeCells>
    <x:mergeCell ref="A1:D1"/>
    <x:mergeCell ref="A2:D2"/>
  </x:mergeCells>
  <x:conditionalFormatting sqref="A5:A14">
    <x:cfRule type="containsText" dxfId="47" priority="1" operator="containsText" text="P0"/>
    <x:cfRule type="containsText" dxfId="48" priority="2" operator="containsText" text="P1"/>
  </x:conditionalFormatting>
  <x:dataValidations count="1">
    <x:dataValidation type="list" sqref="A5:A14">
      <x:formula1>"P0,P1,P2"</x:formula1>
    </x:dataValidation>
  </x:dataValidations>
  <x:pageMargins left="0.7" right="0.7" top="0.75" bottom="0.75" header="0.3" footer="0.3"/>
  <x:tableParts count="1">
    <x:tablePart xmlns:r="http://schemas.openxmlformats.org/officeDocument/2006/relationships" r:id="R2222af29d5d245d5"/>
  </x:tableParts>
</x:worksheet>
</file>