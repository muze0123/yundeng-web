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5964e2647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价格对比看板" sheetId="1" r:id="Rb7029f24d4d44593"/>
    <x:sheet xmlns:r="http://schemas.openxmlformats.org/officeDocument/2006/relationships" name="价格模式对比" sheetId="2" r:id="Rfdceebb57ed746b5"/>
    <x:sheet xmlns:r="http://schemas.openxmlformats.org/officeDocument/2006/relationships" name="套餐金额对比" sheetId="3" r:id="R44cc9029bdb545a2"/>
    <x:sheet xmlns:r="http://schemas.openxmlformats.org/officeDocument/2006/relationships" name="AdsPower套餐基价" sheetId="4" r:id="R70f83b792c6842e9"/>
    <x:sheet xmlns:r="http://schemas.openxmlformats.org/officeDocument/2006/relationships" name="YunLogin套餐价格" sheetId="5" r:id="Ra1c44d7f053e4dd3"/>
    <x:sheet xmlns:r="http://schemas.openxmlformats.org/officeDocument/2006/relationships" name="代理与增值价格" sheetId="6" r:id="R8343951affa74ad0"/>
    <x:sheet xmlns:r="http://schemas.openxmlformats.org/officeDocument/2006/relationships" name="假设与图例" sheetId="7" r:id="R8a437ffa7ca0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.00"/>
    <x:numFmt numFmtId="201" formatCode="&quot;¥&quot;#,##0.00"/>
    <x:numFmt numFmtId="202" formatCode="0%"/>
    <x:numFmt numFmtId="203" formatCode="0.00x"/>
    <x:numFmt numFmtId="204" formatCode="0.00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sz val="9"/>
      <x:name val="Carlito"/>
    </x:font>
    <x:font>
      <x:i/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9C0006"/>
      <x:name val="Arial"/>
    </x:font>
    <x:font>
      <x:i/>
      <x:sz val="10"/>
      <x:color rgb="FF44546A"/>
      <x:name val="Arial"/>
    </x:font>
    <x:font>
      <x:i/>
      <x:sz val="10"/>
      <x:color rgb="FF7F6000"/>
      <x:name val="Arial"/>
    </x:font>
    <x:font>
      <x:b/>
      <x:sz val="10"/>
      <x:color rgb="FF7F6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  <x:fill>
      <x:patternFill patternType="solid">
        <x:fgColor rgb="FFCFE2F3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E7E6E6"/>
      </x:patternFill>
    </x:fill>
  </x:fills>
  <x:borders count="14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E6E9ED"/>
      </x:bottom>
    </x:border>
    <x:border>
      <x:top style="thin">
        <x:color rgb="FFE6E9ED"/>
      </x:top>
      <x:bottom style="thin">
        <x:color rgb="FFE6E9ED"/>
      </x:bottom>
    </x:border>
    <x:border>
      <x:top style="thin">
        <x:color rgb="FFE6E9ED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9EADBA"/>
      </x:left>
      <x:top style="thin">
        <x:color rgb="FF9EADBA"/>
      </x:top>
      <x:bottom style="thin">
        <x:color rgb="FFE6E9ED"/>
      </x:bottom>
    </x:border>
    <x:border>
      <x:right style="thin">
        <x:color rgb="FF9EADBA"/>
      </x:right>
      <x:top style="thin">
        <x:color rgb="FF9EADBA"/>
      </x:top>
      <x:bottom style="thin">
        <x:color rgb="FFE6E9ED"/>
      </x:bottom>
    </x:border>
    <x:border>
      <x:top style="thin">
        <x:color rgb="FF9EADBA"/>
      </x:top>
      <x:bottom style="thin">
        <x:color rgb="FFE6E9ED"/>
      </x:bottom>
    </x:border>
    <x:border>
      <x:left style="thin">
        <x:color rgb="FF9EADBA"/>
      </x:left>
      <x:top style="thin">
        <x:color rgb="FFE6E9ED"/>
      </x:top>
      <x:bottom style="thin">
        <x:color rgb="FFE6E9ED"/>
      </x:bottom>
    </x:border>
    <x:border>
      <x:left style="thin">
        <x:color rgb="FF9EADBA"/>
      </x:left>
      <x:top style="thin">
        <x:color rgb="FFE6E9ED"/>
      </x:top>
      <x:bottom style="thin">
        <x:color rgb="FF9EADBA"/>
      </x:bottom>
    </x:border>
    <x:border>
      <x:top style="thin">
        <x:color rgb="FFE6E9ED"/>
      </x:top>
      <x:bottom style="thin">
        <x:color rgb="FF9EADBA"/>
      </x:bottom>
    </x:border>
  </x:borders>
  <x:cellStyleXfs count="1">
    <x:xf numFmtId="0" fontId="0" fillId="0" borderId="0"/>
  </x:cellStyleXfs>
  <x:cellXfs count="2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5" borderId="0" xfId="0" applyNumberFormat="1" applyFont="1" applyFill="1" applyBorder="1"/>
    <x:xf numFmtId="0" fontId="0" fillId="8" borderId="0" xfId="0" applyNumberFormat="1" applyFont="1" applyFill="1" applyBorder="1"/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6" borderId="7" xfId="0" applyNumberFormat="1" applyFont="1" applyFill="1" applyBorder="1"/>
    <x:xf numFmtId="0" fontId="0" fillId="4" borderId="7" xfId="0" applyNumberFormat="1" applyFont="1" applyFill="1" applyBorder="1"/>
    <x:xf numFmtId="0" fontId="0" fillId="7" borderId="7" xfId="0" applyNumberFormat="1" applyFont="1" applyFill="1" applyBorder="1"/>
    <x:xf numFmtId="0" fontId="0" fillId="5" borderId="7" xfId="0" applyNumberFormat="1" applyFont="1" applyFill="1" applyBorder="1"/>
    <x:xf numFmtId="0" fontId="0" fillId="8" borderId="7" xfId="0" applyNumberFormat="1" applyFont="1" applyFill="1" applyBorder="1"/>
    <x:xf numFmtId="0" fontId="3" fillId="2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204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6" borderId="11" xfId="0" applyNumberFormat="1" applyFont="1" applyFill="1" applyBorder="1"/>
    <x:xf numFmtId="0" fontId="0" fillId="6" borderId="5" xfId="0" applyNumberFormat="1" applyFont="1" applyFill="1" applyBorder="1"/>
    <x:xf numFmtId="0" fontId="0" fillId="4" borderId="11" xfId="0" applyNumberFormat="1" applyFont="1" applyFill="1" applyBorder="1"/>
    <x:xf numFmtId="0" fontId="0" fillId="4" borderId="5" xfId="0" applyNumberFormat="1" applyFont="1" applyFill="1" applyBorder="1"/>
    <x:xf numFmtId="0" fontId="0" fillId="7" borderId="11" xfId="0" applyNumberFormat="1" applyFont="1" applyFill="1" applyBorder="1"/>
    <x:xf numFmtId="0" fontId="0" fillId="7" borderId="5" xfId="0" applyNumberFormat="1" applyFont="1" applyFill="1" applyBorder="1"/>
    <x:xf numFmtId="0" fontId="0" fillId="5" borderId="11" xfId="0" applyNumberFormat="1" applyFont="1" applyFill="1" applyBorder="1"/>
    <x:xf numFmtId="0" fontId="0" fillId="5" borderId="5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0" borderId="13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vertical="top" wrapText="1"/>
    </x:xf>
    <x:xf numFmtId="0" fontId="3" fillId="2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2" borderId="8" xfId="0" applyNumberFormat="1" applyFont="1" applyFill="1" applyBorder="1" applyAlignment="1">
      <x:alignment horizontal="center" vertical="top" wrapText="1"/>
    </x:xf>
    <x:xf numFmtId="0" fontId="8" fillId="2" borderId="9" xfId="0" applyNumberFormat="1" applyFont="1" applyFill="1" applyBorder="1" applyAlignment="1">
      <x:alignment horizontal="center"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8" fillId="2" borderId="10" xfId="0" applyNumberFormat="1" applyFont="1" applyFill="1" applyBorder="1" applyAlignment="1">
      <x:alignment horizontal="center"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6" borderId="11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top" wrapText="1"/>
    </x:xf>
    <x:xf numFmtId="0" fontId="9" fillId="4" borderId="11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7" borderId="11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8" borderId="12" xfId="0" applyNumberFormat="1" applyFont="1" applyFill="1" applyBorder="1" applyAlignment="1">
      <x:alignment vertical="top" wrapText="1"/>
    </x:xf>
    <x:xf numFmtId="0" fontId="9" fillId="8" borderId="13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9" fillId="4" borderId="4" xfId="0" applyNumberFormat="1" applyFont="1" applyFill="1" applyBorder="1" applyAlignment="1">
      <x:alignment vertical="top" wrapText="1"/>
    </x:xf>
    <x:xf numFmtId="0" fontId="9" fillId="8" borderId="5" xfId="0" applyNumberFormat="1" applyFont="1" applyFill="1" applyBorder="1" applyAlignment="1">
      <x:alignment vertical="top" wrapText="1"/>
    </x:xf>
    <x:xf numFmtId="0" fontId="9" fillId="8" borderId="6" xfId="0" applyNumberFormat="1" applyFont="1" applyFill="1" applyBorder="1" applyAlignment="1">
      <x:alignment vertical="top" wrapText="1"/>
    </x:xf>
    <x:xf numFmtId="0" fontId="12" fillId="4" borderId="0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vertical="center"/>
    </x:xf>
    <x:xf numFmtId="200" fontId="9" fillId="0" borderId="4" xfId="0" applyNumberFormat="1" applyFont="1" applyFill="1" applyBorder="1" applyAlignment="1">
      <x:alignment vertical="center"/>
    </x:xf>
    <x:xf numFmtId="202" fontId="9" fillId="0" borderId="4" xfId="0" applyNumberFormat="1" applyFont="1" applyFill="1" applyBorder="1" applyAlignment="1">
      <x:alignment vertical="center"/>
    </x:xf>
    <x:xf numFmtId="201" fontId="9" fillId="0" borderId="4" xfId="0" applyNumberFormat="1" applyFont="1" applyFill="1" applyBorder="1" applyAlignment="1">
      <x:alignment vertical="center"/>
    </x:xf>
    <x:xf numFmtId="203" fontId="9" fillId="0" borderId="4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200" fontId="9" fillId="0" borderId="5" xfId="0" applyNumberFormat="1" applyFont="1" applyFill="1" applyBorder="1" applyAlignment="1">
      <x:alignment vertical="center"/>
    </x:xf>
    <x:xf numFmtId="202" fontId="9" fillId="0" borderId="5" xfId="0" applyNumberFormat="1" applyFont="1" applyFill="1" applyBorder="1" applyAlignment="1">
      <x:alignment vertical="center"/>
    </x:xf>
    <x:xf numFmtId="201" fontId="9" fillId="0" borderId="5" xfId="0" applyNumberFormat="1" applyFont="1" applyFill="1" applyBorder="1" applyAlignment="1">
      <x:alignment vertical="center"/>
    </x:xf>
    <x:xf numFmtId="203" fontId="9" fillId="0" borderId="5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200" fontId="9" fillId="0" borderId="6" xfId="0" applyNumberFormat="1" applyFont="1" applyFill="1" applyBorder="1" applyAlignment="1">
      <x:alignment vertical="center"/>
    </x:xf>
    <x:xf numFmtId="202" fontId="9" fillId="0" borderId="6" xfId="0" applyNumberFormat="1" applyFont="1" applyFill="1" applyBorder="1" applyAlignment="1">
      <x:alignment vertical="center"/>
    </x:xf>
    <x:xf numFmtId="201" fontId="9" fillId="0" borderId="6" xfId="0" applyNumberFormat="1" applyFont="1" applyFill="1" applyBorder="1" applyAlignment="1">
      <x:alignment vertical="center"/>
    </x:xf>
    <x:xf numFmtId="203" fontId="9" fillId="0" borderId="6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wrapText="1"/>
    </x:xf>
    <x:xf numFmtId="0" fontId="9" fillId="0" borderId="4" xfId="0" applyNumberFormat="1" applyFont="1" applyFill="1" applyBorder="1"/>
    <x:xf numFmtId="201" fontId="9" fillId="0" borderId="4" xfId="0" applyNumberFormat="1" applyFont="1" applyFill="1" applyBorder="1"/>
    <x:xf numFmtId="0" fontId="9" fillId="0" borderId="5" xfId="0" applyNumberFormat="1" applyFont="1" applyFill="1" applyBorder="1"/>
    <x:xf numFmtId="201" fontId="9" fillId="0" borderId="5" xfId="0" applyNumberFormat="1" applyFont="1" applyFill="1" applyBorder="1"/>
    <x:xf numFmtId="0" fontId="9" fillId="0" borderId="6" xfId="0" applyNumberFormat="1" applyFont="1" applyFill="1" applyBorder="1"/>
    <x:xf numFmtId="201" fontId="9" fillId="0" borderId="6" xfId="0" applyNumberFormat="1" applyFont="1" applyFill="1" applyBorder="1"/>
    <x:xf numFmtId="0" fontId="9" fillId="0" borderId="4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wrapText="1"/>
    </x:xf>
    <x:xf numFmtId="0" fontId="8" fillId="2" borderId="7" xfId="0" applyNumberFormat="1" applyFont="1" applyFill="1" applyBorder="1" applyAlignment="1">
      <x:alignment horizontal="center" vertical="top" wrapText="1"/>
    </x:xf>
    <x:xf numFmtId="0" fontId="9" fillId="0" borderId="7" xfId="0" applyNumberFormat="1" applyFont="1" applyFill="1" applyBorder="1" applyAlignment="1">
      <x:alignment vertical="top" wrapText="1"/>
    </x:xf>
    <x:xf numFmtId="204" fontId="9" fillId="0" borderId="7" xfId="0" applyNumberFormat="1" applyFont="1" applyFill="1" applyBorder="1" applyAlignment="1">
      <x:alignment vertical="top" wrapText="1"/>
    </x:xf>
    <x:xf numFmtId="0" fontId="9" fillId="6" borderId="7" xfId="0" applyNumberFormat="1" applyFont="1" applyFill="1" applyBorder="1" applyAlignment="1">
      <x:alignment vertical="top" wrapText="1"/>
    </x:xf>
    <x:xf numFmtId="0" fontId="9" fillId="4" borderId="7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vertical="top" wrapText="1"/>
    </x:xf>
    <x:xf numFmtId="0" fontId="9" fillId="8" borderId="7" xfId="0" applyNumberFormat="1" applyFont="1" applyFill="1" applyBorder="1" applyAlignment="1">
      <x:alignment vertical="top" wrapText="1"/>
    </x:xf>
    <x:xf numFmtId="0" fontId="8" fillId="2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d3b6ef6484ddd" /><Relationship Type="http://schemas.openxmlformats.org/officeDocument/2006/relationships/theme" Target="/xl/theme/theme1.xml" Id="R97cf24f8600144b5" /><Relationship Type="http://schemas.openxmlformats.org/officeDocument/2006/relationships/sharedStrings" Target="/xl/sharedStrings.xml" Id="R12e263976b4d4e72" /><Relationship Type="http://schemas.openxmlformats.org/officeDocument/2006/relationships/worksheet" Target="/xl/worksheets/sheet1.xml" Id="Rb7029f24d4d44593" /><Relationship Type="http://schemas.openxmlformats.org/officeDocument/2006/relationships/worksheet" Target="/xl/worksheets/sheet2.xml" Id="Rfdceebb57ed746b5" /><Relationship Type="http://schemas.openxmlformats.org/officeDocument/2006/relationships/worksheet" Target="/xl/worksheets/sheet3.xml" Id="R44cc9029bdb545a2" /><Relationship Type="http://schemas.openxmlformats.org/officeDocument/2006/relationships/worksheet" Target="/xl/worksheets/sheet4.xml" Id="R70f83b792c6842e9" /><Relationship Type="http://schemas.openxmlformats.org/officeDocument/2006/relationships/worksheet" Target="/xl/worksheets/sheet5.xml" Id="Ra1c44d7f053e4dd3" /><Relationship Type="http://schemas.openxmlformats.org/officeDocument/2006/relationships/worksheet" Target="/xl/worksheets/sheet6.xml" Id="R8343951affa74ad0" /><Relationship Type="http://schemas.openxmlformats.org/officeDocument/2006/relationships/worksheet" Target="/xl/worksheets/sheet7.xml" Id="R8a437ffa7ca044ef" /></Relationships>
</file>

<file path=xl/tables/table1.xml><?xml version="1.0" encoding="utf-8"?>
<x:table xmlns:x="http://schemas.openxmlformats.org/spreadsheetml/2006/main" id="1" name="PricingModeComparison" displayName="PricingModeComparison" ref="A3:I27" headerRowCount="1" totalsRowCount="0" totalsRowShown="0">
  <x:tableColumns count="9">
    <x:tableColumn id="1" name="能力域"/>
    <x:tableColumn id="2" name="价格/套餐模式"/>
    <x:tableColumn id="3" name="AdsPower"/>
    <x:tableColumn id="4" name="YunLogin"/>
    <x:tableColumn id="5" name="YunLogin证据状态"/>
    <x:tableColumn id="6" name="差异颜色"/>
    <x:tableColumn id="7" name="判定依据"/>
    <x:tableColumn id="8" name="优先级"/>
    <x:tableColumn id="9" name="建议动作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ackageAmountComparison" displayName="PackageAmountComparison" ref="A3:L35" headerRowCount="1" totalsRowCount="0" totalsRowShown="0">
  <x:tableColumns count="12">
    <x:tableColumn id="1" name="环境数"/>
    <x:tableColumn id="2" name="周期（天）"/>
    <x:tableColumn id="3" name="Ads月基价USD"/>
    <x:tableColumn id="4" name="Ads周期折扣"/>
    <x:tableColumn id="5" name="Ads总价USD"/>
    <x:tableColumn id="6" name="Ads折算CNY"/>
    <x:tableColumn id="7" name="Yun原始月价CNY"/>
    <x:tableColumn id="8" name="Yun周期折扣"/>
    <x:tableColumn id="9" name="Yun总价CNY"/>
    <x:tableColumn id="10" name="Yun-Ads差额CNY"/>
    <x:tableColumn id="11" name="Yun/Ads"/>
    <x:tableColumn id="12" name="分析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2b36384eb34b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c79ba727d34f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5" hidden="0" customWidth="1"/>
    <x:col min="4" max="4" width="18" hidden="0" customWidth="1"/>
    <x:col min="5" max="5" width="58" hidden="0" customWidth="1"/>
    <x:col min="6" max="6" width="40" hidden="0" customWidth="1"/>
    <x:col min="7" max="7" width="12" hidden="0" customWidth="1"/>
    <x:col min="8" max="8" width="46" hidden="0" customWidth="1"/>
  </x:cols>
  <x:sheetData>
    <x:row r="1">
      <x:c r="A1" s="150" t="str">
        <x:v>YunLogin 与 AdsPower 产品价格对比看板</x:v>
      </x:c>
      <x:c r="B1" s="150"/>
      <x:c r="C1" s="150"/>
      <x:c r="D1" s="150"/>
      <x:c r="E1" s="150"/>
      <x:c r="F1" s="150"/>
      <x:c r="G1" s="150"/>
      <x:c r="H1" s="150"/>
    </x:row>
    <x:row r="2">
      <x:c r="A2" s="151"/>
      <x:c r="B2" s="151"/>
      <x:c r="C2" s="151"/>
      <x:c r="D2" s="151"/>
      <x:c r="E2" s="151"/>
      <x:c r="F2" s="151"/>
      <x:c r="G2" s="151"/>
      <x:c r="H2" s="151"/>
    </x:row>
    <x:row r="3">
      <x:c r="A3" s="152" t="str">
        <x:v>指标</x:v>
      </x:c>
      <x:c r="B3" s="153" t="str">
        <x:v>数量</x:v>
      </x:c>
      <x:c r="C3" s="154"/>
      <x:c r="D3" s="152" t="str">
        <x:v>结论层级</x:v>
      </x:c>
      <x:c r="E3" s="155" t="str">
        <x:v>核心结论</x:v>
      </x:c>
      <x:c r="F3" s="155" t="str">
        <x:v>影响</x:v>
      </x:c>
      <x:c r="G3" s="155" t="str">
        <x:v>优先级</x:v>
      </x:c>
      <x:c r="H3" s="155" t="str">
        <x:v>注意</x:v>
      </x:c>
    </x:row>
    <x:row r="4">
      <x:c r="A4" s="156" t="str">
        <x:v>价格/套餐模式对比项</x:v>
      </x:c>
      <x:c r="B4" s="157" t="n">
        <x:v>24</x:v>
      </x:c>
      <x:c r="C4" s="157"/>
      <x:c r="D4" s="157" t="str">
        <x:v>套餐架构</x:v>
      </x:c>
      <x:c r="E4" s="157" t="str">
        <x:v>AdsPower形成免费/试用/专业/商业/企业/终身环境的多层价格梯度；YunLogin以统一环境套餐和深周期折扣为主</x:v>
      </x:c>
      <x:c r="F4" s="157" t="str">
        <x:v>覆盖从低门槛到大客户的完整度不同</x:v>
      </x:c>
      <x:c r="G4" s="157" t="str">
        <x:v>P0</x:v>
      </x:c>
      <x:c r="H4" s="157" t="str">
        <x:v>企业档为唯一明确缺失；其他未覆盖模式不能直接判无</x:v>
      </x:c>
    </x:row>
    <x:row r="5">
      <x:c r="A5" s="158" t="str">
        <x:v>红色：明确缺失</x:v>
      </x:c>
      <x:c r="B5" s="159" t="n">
        <x:v>1</x:v>
      </x:c>
      <x:c r="C5" s="157"/>
      <x:c r="D5" s="157" t="str">
        <x:v>同档金额</x:v>
      </x:c>
      <x:c r="E5" s="157" t="str">
        <x:v>按7.20分析汇率，当前样本中YunLogin同环境数页面金额显著低于AdsPower折算金额</x:v>
      </x:c>
      <x:c r="F5" s="157" t="str">
        <x:v>有利于价格吸引力，但不代表功能权益和服务等价</x:v>
      </x:c>
      <x:c r="G5" s="157" t="str">
        <x:v>P1</x:v>
      </x:c>
      <x:c r="H5" s="157" t="str">
        <x:v>汇率和活动价可变，需做敏感性分析</x:v>
      </x:c>
    </x:row>
    <x:row r="6">
      <x:c r="A6" s="160" t="str">
        <x:v>黄色：待确认</x:v>
      </x:c>
      <x:c r="B6" s="161" t="n">
        <x:v>7</x:v>
      </x:c>
      <x:c r="C6" s="157"/>
      <x:c r="D6" s="157" t="str">
        <x:v>规模计价</x:v>
      </x:c>
      <x:c r="E6" s="157" t="str">
        <x:v>AdsPower公开累进阶梯，规模越大边际环境单价越低；YunLogin完整定价函数未披露</x:v>
      </x:c>
      <x:c r="F6" s="157" t="str">
        <x:v>影响报价透明度、销售解释和大客户预算</x:v>
      </x:c>
      <x:c r="G6" s="157" t="str">
        <x:v>P0</x:v>
      </x:c>
      <x:c r="H6" s="157" t="str">
        <x:v>先补齐函数，不把样例外推为规则</x:v>
      </x:c>
    </x:row>
    <x:row r="7">
      <x:c r="A7" s="162" t="str">
        <x:v>绿色：核心一致</x:v>
      </x:c>
      <x:c r="B7" s="163" t="n">
        <x:v>2</x:v>
      </x:c>
      <x:c r="C7" s="157"/>
      <x:c r="D7" s="157" t="str">
        <x:v>代理商业化</x:v>
      </x:c>
      <x:c r="E7" s="157" t="str">
        <x:v>双方均卖静态代理；AdsPower另有动态住宅流量包，YunLogin有家庭住宅首月免费和购物车</x:v>
      </x:c>
      <x:c r="F7" s="157" t="str">
        <x:v>交叉销售方式和供应结构不同</x:v>
      </x:c>
      <x:c r="G7" s="157" t="str">
        <x:v>P1</x:v>
      </x:c>
      <x:c r="H7" s="157" t="str">
        <x:v>代理不等质，不能只按金额排名</x:v>
      </x:c>
    </x:row>
    <x:row r="8">
      <x:c r="A8" s="164" t="str">
        <x:v>蓝色：模式不同</x:v>
      </x:c>
      <x:c r="B8" s="165" t="n">
        <x:v>9</x:v>
      </x:c>
      <x:c r="C8" s="157"/>
      <x:c r="D8" s="157" t="str">
        <x:v>支付全球化</x:v>
      </x:c>
      <x:c r="E8" s="157" t="str">
        <x:v>AdsPower多币种、多本地支付，但常见2%+$1手续费；YunLogin以人民币云币、支付宝和微信为主</x:v>
      </x:c>
      <x:c r="F8" s="157" t="str">
        <x:v>目标市场和支付成功率不同</x:v>
      </x:c>
      <x:c r="G8" s="157" t="str">
        <x:v>P1</x:v>
      </x:c>
      <x:c r="H8" s="157" t="str">
        <x:v>手续费模式在YunLogin仅属待确认</x:v>
      </x:c>
    </x:row>
    <x:row r="9">
      <x:c r="A9" s="166" t="str">
        <x:v>灰色：不可直接比较</x:v>
      </x:c>
      <x:c r="B9" s="167" t="n">
        <x:v>5</x:v>
      </x:c>
      <x:c r="C9" s="168"/>
      <x:c r="D9" s="168" t="str">
        <x:v>增值收入</x:v>
      </x:c>
      <x:c r="E9" s="168" t="str">
        <x:v>AdsPower确认终身环境和付费RPA模板；YunLogin材料未覆盖同类价格</x:v>
      </x:c>
      <x:c r="F9" s="168" t="str">
        <x:v>AdsPower收入结构更分散</x:v>
      </x:c>
      <x:c r="G9" s="168" t="str">
        <x:v>P1/P2</x:v>
      </x:c>
      <x:c r="H9" s="168" t="str">
        <x:v>先验证需求与订阅蚕食，不建议机械复制</x:v>
      </x:c>
    </x:row>
    <x:row r="10">
      <x:c r="A10" s="151"/>
      <x:c r="B10" s="151"/>
      <x:c r="C10" s="151"/>
      <x:c r="D10" s="151"/>
      <x:c r="E10" s="151"/>
      <x:c r="F10" s="151"/>
      <x:c r="G10" s="151"/>
      <x:c r="H10" s="151"/>
    </x:row>
    <x:row r="11">
      <x:c r="A11" s="169" t="str">
        <x:v>严格事实结论：红色只有企业套餐与询价模式。免费/试用、终身环境、动态住宅流量包、付费模板和手续费均因YunLogin材料无直接证据而标黄色，不等于已确认不存在。</x:v>
      </x:c>
      <x:c r="B11" s="169"/>
      <x:c r="C11" s="169"/>
      <x:c r="D11" s="169"/>
      <x:c r="E11" s="169"/>
      <x:c r="F11" s="169"/>
      <x:c r="G11" s="169"/>
      <x:c r="H11" s="169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4" hidden="0" customWidth="1"/>
    <x:col min="5" max="5" width="18" hidden="0" customWidth="1"/>
    <x:col min="6" max="6" width="12" hidden="0" customWidth="1"/>
    <x:col min="7" max="7" width="48" hidden="0" customWidth="1"/>
    <x:col min="8" max="8" width="10" hidden="0" customWidth="1"/>
    <x:col min="9" max="9" width="52" hidden="0" customWidth="1"/>
  </x:cols>
  <x:sheetData>
    <x:row r="1">
      <x:c r="A1" s="150" t="str">
        <x:v>YunLogin 与 AdsPower 价格模式逐项对比</x:v>
      </x:c>
      <x:c r="B1" s="150"/>
      <x:c r="C1" s="150"/>
      <x:c r="D1" s="150"/>
      <x:c r="E1" s="150"/>
      <x:c r="F1" s="150"/>
      <x:c r="G1" s="150"/>
      <x:c r="H1" s="150"/>
      <x:c r="I1" s="150"/>
    </x:row>
    <x:row r="2">
      <x:c r="A2" s="170" t="str">
        <x:v>红=AdsPower有且YunLogin明确没有；黄=AdsPower有而YunLogin材料未覆盖；蓝=双方均有但模式不同；绿=核心模式一致；灰=仅单边确认或不可比较。</x:v>
      </x:c>
      <x:c r="B2" s="170"/>
      <x:c r="C2" s="170"/>
      <x:c r="D2" s="170"/>
      <x:c r="E2" s="170"/>
      <x:c r="F2" s="170"/>
      <x:c r="G2" s="170"/>
      <x:c r="H2" s="170"/>
      <x:c r="I2" s="170"/>
    </x:row>
    <x:row r="3">
      <x:c r="A3" s="171" t="str">
        <x:v>能力域</x:v>
      </x:c>
      <x:c r="B3" s="172" t="str">
        <x:v>价格/套餐模式</x:v>
      </x:c>
      <x:c r="C3" s="172" t="str">
        <x:v>AdsPower</x:v>
      </x:c>
      <x:c r="D3" s="172" t="str">
        <x:v>YunLogin</x:v>
      </x:c>
      <x:c r="E3" s="172" t="str">
        <x:v>YunLogin证据状态</x:v>
      </x:c>
      <x:c r="F3" s="172" t="str">
        <x:v>差异颜色</x:v>
      </x:c>
      <x:c r="G3" s="172" t="str">
        <x:v>判定依据</x:v>
      </x:c>
      <x:c r="H3" s="172" t="str">
        <x:v>优先级</x:v>
      </x:c>
      <x:c r="I3" s="173" t="str">
        <x:v>建议动作</x:v>
      </x:c>
    </x:row>
    <x:row r="4">
      <x:c r="A4" s="174" t="str">
        <x:v>获客套餐</x:v>
      </x:c>
      <x:c r="B4" s="174" t="str">
        <x:v>永久免费套餐</x:v>
      </x:c>
      <x:c r="C4" s="174" t="str">
        <x:v>2环境、1名免费成员，$0永久使用</x:v>
      </x:c>
      <x:c r="D4" s="174" t="str">
        <x:v>现有价格清单未记录免费套餐</x:v>
      </x:c>
      <x:c r="E4" s="174" t="str">
        <x:v>材料未覆盖</x:v>
      </x:c>
      <x:c r="F4" s="174" t="str">
        <x:v>黄色</x:v>
      </x:c>
      <x:c r="G4" s="174" t="str">
        <x:v>AdsPower有明确免费入口；YunLogin无直接证据，不能断言不存在</x:v>
      </x:c>
      <x:c r="H4" s="174" t="str">
        <x:v>P1</x:v>
      </x:c>
      <x:c r="I4" s="174" t="str">
        <x:v>核实YunLogin注册后的免费额度、有效期和付费功能限制</x:v>
      </x:c>
    </x:row>
    <x:row r="5">
      <x:c r="A5" s="161" t="str">
        <x:v>获客套餐</x:v>
      </x:c>
      <x:c r="B5" s="161" t="str">
        <x:v>限时试用套餐</x:v>
      </x:c>
      <x:c r="C5" s="161" t="str">
        <x:v>Trial：12环境、2名成员，$14/月；含高级能力</x:v>
      </x:c>
      <x:c r="D5" s="161" t="str">
        <x:v>现有价格清单未记录独立试用套餐</x:v>
      </x:c>
      <x:c r="E5" s="161" t="str">
        <x:v>材料未覆盖</x:v>
      </x:c>
      <x:c r="F5" s="161" t="str">
        <x:v>黄色</x:v>
      </x:c>
      <x:c r="G5" s="161" t="str">
        <x:v>AdsPower有明确Trial；YunLogin无直接证据</x:v>
      </x:c>
      <x:c r="H5" s="161" t="str">
        <x:v>P1</x:v>
      </x:c>
      <x:c r="I5" s="161" t="str">
        <x:v>核实是否有试用期、试用配额或新客优惠替代机制</x:v>
      </x:c>
    </x:row>
    <x:row r="6">
      <x:c r="A6" s="165" t="str">
        <x:v>浏览器套餐</x:v>
      </x:c>
      <x:c r="B6" s="165" t="str">
        <x:v>按环境数订阅</x:v>
      </x:c>
      <x:c r="C6" s="165" t="str">
        <x:v>专业10～100、商业200～5000；环境采用分段累进计价</x:v>
      </x:c>
      <x:c r="D6" s="165" t="str">
        <x:v>10～5000快捷预设并支持连续步进调整</x:v>
      </x:c>
      <x:c r="E6" s="165" t="str">
        <x:v>双方均有但规则不同</x:v>
      </x:c>
      <x:c r="F6" s="165" t="str">
        <x:v>蓝色</x:v>
      </x:c>
      <x:c r="G6" s="165" t="str">
        <x:v>均按环境规模收费；AdsPower公开累进单价，YunLogin底层公式未完整披露</x:v>
      </x:c>
      <x:c r="H6" s="165" t="str">
        <x:v>—</x:v>
      </x:c>
      <x:c r="I6" s="165" t="str">
        <x:v>比较边际单价、权益差异和升级路径</x:v>
      </x:c>
    </x:row>
    <x:row r="7">
      <x:c r="A7" s="165" t="str">
        <x:v>浏览器套餐</x:v>
      </x:c>
      <x:c r="B7" s="165" t="str">
        <x:v>命名版本分层</x:v>
      </x:c>
      <x:c r="C7" s="165" t="str">
        <x:v>专业版、商业版、企业版承载不同服务定位</x:v>
      </x:c>
      <x:c r="D7" s="165" t="str">
        <x:v>当前材料为统一环境套餐，未确认专业/商业版本分层</x:v>
      </x:c>
      <x:c r="E7" s="165" t="str">
        <x:v>双方均有但架构不同</x:v>
      </x:c>
      <x:c r="F7" s="165" t="str">
        <x:v>蓝色</x:v>
      </x:c>
      <x:c r="G7" s="165" t="str">
        <x:v>YunLogin有套餐但未采用相同版本命名和权益分层</x:v>
      </x:c>
      <x:c r="H7" s="165" t="str">
        <x:v>P1</x:v>
      </x:c>
      <x:c r="I7" s="165" t="str">
        <x:v>判断目标用户是否需要按服务权益而非仅环境数分层</x:v>
      </x:c>
    </x:row>
    <x:row r="8">
      <x:c r="A8" s="159" t="str">
        <x:v>浏览器套餐</x:v>
      </x:c>
      <x:c r="B8" s="159" t="str">
        <x:v>企业套餐与询价</x:v>
      </x:c>
      <x:c r="C8" s="159" t="str">
        <x:v>5000以上企业版，可询价、专属客服及部分定制开发</x:v>
      </x:c>
      <x:c r="D8" s="159" t="str">
        <x:v>明确不存在已确认的企业套餐档；5000只是快捷预设</x:v>
      </x:c>
      <x:c r="E8" s="159" t="str">
        <x:v>明确没有</x:v>
      </x:c>
      <x:c r="F8" s="159" t="str">
        <x:v>红色</x:v>
      </x:c>
      <x:c r="G8" s="159" t="str">
        <x:v>YunLogin材料明确否定企业档，AdsPower明确提供企业询价模式</x:v>
      </x:c>
      <x:c r="H8" s="159" t="str">
        <x:v>P0</x:v>
      </x:c>
      <x:c r="I8" s="159" t="str">
        <x:v>先验证大客户规模、合同采购、SLA和定制需求，不直接照搬</x:v>
      </x:c>
    </x:row>
    <x:row r="9">
      <x:c r="A9" s="161" t="str">
        <x:v>浏览器套餐</x:v>
      </x:c>
      <x:c r="B9" s="161" t="str">
        <x:v>环境累进阶梯单价</x:v>
      </x:c>
      <x:c r="C9" s="161" t="str">
        <x:v>$0.90→$0.01/环境/月，按区间累进计算</x:v>
      </x:c>
      <x:c r="D9" s="161" t="str">
        <x:v>10～13环境增量不完全等差，疑似分段或舍入；完整公式未披露</x:v>
      </x:c>
      <x:c r="E9" s="161" t="str">
        <x:v>材料未覆盖</x:v>
      </x:c>
      <x:c r="F9" s="161" t="str">
        <x:v>黄色</x:v>
      </x:c>
      <x:c r="G9" s="161" t="str">
        <x:v>AdsPower计价曲线明确；YunLogin只能从样例推测，不能确认同类模式</x:v>
      </x:c>
      <x:c r="H9" s="161" t="str">
        <x:v>P0</x:v>
      </x:c>
      <x:c r="I9" s="161" t="str">
        <x:v>补齐YunLogin完整环境数定价函数、上限和舍入规则</x:v>
      </x:c>
    </x:row>
    <x:row r="10">
      <x:c r="A10" s="165" t="str">
        <x:v>浏览器套餐</x:v>
      </x:c>
      <x:c r="B10" s="165" t="str">
        <x:v>额外成员独立计费</x:v>
      </x:c>
      <x:c r="C10" s="165" t="str">
        <x:v>$5/人/月，无阶梯，随套餐周期折扣</x:v>
      </x:c>
      <x:c r="D10" s="165" t="str">
        <x:v>¥19/人，最终金额受周期和折扣影响</x:v>
      </x:c>
      <x:c r="E10" s="165" t="str">
        <x:v>双方均有但价格不同</x:v>
      </x:c>
      <x:c r="F10" s="165" t="str">
        <x:v>蓝色</x:v>
      </x:c>
      <x:c r="G10" s="165" t="str">
        <x:v>均拆分环境与协作价值，但币种、绝对价格和折扣口径不同</x:v>
      </x:c>
      <x:c r="H10" s="165" t="str">
        <x:v>—</x:v>
      </x:c>
      <x:c r="I10" s="165" t="str">
        <x:v>结合团队渗透率评估成员费对ARPU和扩张阻力的影响</x:v>
      </x:c>
    </x:row>
    <x:row r="11">
      <x:c r="A11" s="165" t="str">
        <x:v>浏览器套餐</x:v>
      </x:c>
      <x:c r="B11" s="165" t="str">
        <x:v>四周期订阅</x:v>
      </x:c>
      <x:c r="C11" s="165" t="str">
        <x:v>30/90/180/360天，折扣1/0.9/0.85/0.8</x:v>
      </x:c>
      <x:c r="D11" s="165" t="str">
        <x:v>30/90/180/360天，当期折扣0.85/0.8/0.75/0.5</x:v>
      </x:c>
      <x:c r="E11" s="165" t="str">
        <x:v>双方均有但折扣不同</x:v>
      </x:c>
      <x:c r="F11" s="165" t="str">
        <x:v>蓝色</x:v>
      </x:c>
      <x:c r="G11" s="165" t="str">
        <x:v>周期一致；YunLogin当前长期折扣更深，但含限时活动属性</x:v>
      </x:c>
      <x:c r="H11" s="165" t="str">
        <x:v>—</x:v>
      </x:c>
      <x:c r="I11" s="165" t="str">
        <x:v>区分常规价与活动价，避免用短期促销判断长期价格策略</x:v>
      </x:c>
    </x:row>
    <x:row r="12">
      <x:c r="A12" s="163" t="str">
        <x:v>套餐变更</x:v>
      </x:c>
      <x:c r="B12" s="163" t="str">
        <x:v>剩余周期补差</x:v>
      </x:c>
      <x:c r="C12" s="163" t="str">
        <x:v>升级/更改套餐按剩余周期产生短期补差示例</x:v>
      </x:c>
      <x:c r="D12" s="163" t="str">
        <x:v>现套餐总价÷总天数×剩余天数抵扣新套餐</x:v>
      </x:c>
      <x:c r="E12" s="163" t="str">
        <x:v>双方核心模式一致</x:v>
      </x:c>
      <x:c r="F12" s="163" t="str">
        <x:v>绿色</x:v>
      </x:c>
      <x:c r="G12" s="163" t="str">
        <x:v>双方均支持按剩余价值补差或抵扣</x:v>
      </x:c>
      <x:c r="H12" s="163" t="str">
        <x:v>—</x:v>
      </x:c>
      <x:c r="I12" s="163" t="str">
        <x:v>继续核实AdsPower与YunLogin的舍入、跨币种和优惠回收规则</x:v>
      </x:c>
    </x:row>
    <x:row r="13">
      <x:c r="A13" s="175" t="str">
        <x:v>套餐变更</x:v>
      </x:c>
      <x:c r="B13" s="175" t="str">
        <x:v>减配退款边界</x:v>
      </x:c>
      <x:c r="C13" s="175" t="str">
        <x:v>价格清单未确认减配退款公式</x:v>
      </x:c>
      <x:c r="D13" s="175" t="str">
        <x:v>减配不退费</x:v>
      </x:c>
      <x:c r="E13" s="175" t="str">
        <x:v>不可直接比较</x:v>
      </x:c>
      <x:c r="F13" s="175" t="str">
        <x:v>灰色</x:v>
      </x:c>
      <x:c r="G13" s="175" t="str">
        <x:v>YunLogin规则明确，AdsPower材料不足</x:v>
      </x:c>
      <x:c r="H13" s="175" t="str">
        <x:v>—</x:v>
      </x:c>
      <x:c r="I13" s="175" t="str">
        <x:v>不据此判断AdsPower没有；补充双方正式退款政策</x:v>
      </x:c>
    </x:row>
    <x:row r="14">
      <x:c r="A14" s="161" t="str">
        <x:v>买断模式</x:v>
      </x:c>
      <x:c r="B14" s="161" t="str">
        <x:v>终身环境</x:v>
      </x:c>
      <x:c r="C14" s="161" t="str">
        <x:v>$15/环境；最多额外8个；与订阅并存；不退款</x:v>
      </x:c>
      <x:c r="D14" s="161" t="str">
        <x:v>现有材料未记录终身环境商品</x:v>
      </x:c>
      <x:c r="E14" s="161" t="str">
        <x:v>材料未覆盖</x:v>
      </x:c>
      <x:c r="F14" s="161" t="str">
        <x:v>黄色</x:v>
      </x:c>
      <x:c r="G14" s="161" t="str">
        <x:v>AdsPower明确存在一次性买断；YunLogin无直接证据</x:v>
      </x:c>
      <x:c r="H14" s="161" t="str">
        <x:v>P1</x:v>
      </x:c>
      <x:c r="I14" s="161" t="str">
        <x:v>评估低频小用户买断需求、订阅蚕食和长期服务成本</x:v>
      </x:c>
    </x:row>
    <x:row r="15">
      <x:c r="A15" s="165" t="str">
        <x:v>代理商品</x:v>
      </x:c>
      <x:c r="B15" s="165" t="str">
        <x:v>静态数据中心代理</x:v>
      </x:c>
      <x:c r="C15" s="165" t="str">
        <x:v>Socks5，$5.99～$7.99/IP/30天</x:v>
      </x:c>
      <x:c r="D15" s="165" t="str">
        <x:v>云平台静态代理，约¥55.90～¥79.90/月；资源卡和协议口径不同</x:v>
      </x:c>
      <x:c r="E15" s="165" t="str">
        <x:v>双方均有但资源不可等质比较</x:v>
      </x:c>
      <x:c r="F15" s="165" t="str">
        <x:v>蓝色</x:v>
      </x:c>
      <x:c r="G15" s="165" t="str">
        <x:v>均有静态代理，但供应商、线路、质量、城市和协议不同，不能只比金额</x:v>
      </x:c>
      <x:c r="H15" s="165" t="str">
        <x:v>—</x:v>
      </x:c>
      <x:c r="I15" s="165" t="str">
        <x:v>建立同国家、同协议、同质量和同SLA的可比样本</x:v>
      </x:c>
    </x:row>
    <x:row r="16">
      <x:c r="A16" s="165" t="str">
        <x:v>代理商品</x:v>
      </x:c>
      <x:c r="B16" s="165" t="str">
        <x:v>静态ISP住宅代理</x:v>
      </x:c>
      <x:c r="C16" s="165" t="str">
        <x:v>Socks5，$7.99～$10.99/IP/30天</x:v>
      </x:c>
      <x:c r="D16" s="165" t="str">
        <x:v>全球家庭住宅静态代理，约¥19.90～¥102.90/月</x:v>
      </x:c>
      <x:c r="E16" s="165" t="str">
        <x:v>双方均有但资源不可等质比较</x:v>
      </x:c>
      <x:c r="F16" s="165" t="str">
        <x:v>蓝色</x:v>
      </x:c>
      <x:c r="G16" s="165" t="str">
        <x:v>均有住宅类静态代理，资源质量和地区颗粒度不同</x:v>
      </x:c>
      <x:c r="H16" s="165" t="str">
        <x:v>—</x:v>
      </x:c>
      <x:c r="I16" s="165" t="str">
        <x:v>用成功率、纯净度、可用时长和售后共同评估性价比</x:v>
      </x:c>
    </x:row>
    <x:row r="17">
      <x:c r="A17" s="161" t="str">
        <x:v>代理商品</x:v>
      </x:c>
      <x:c r="B17" s="161" t="str">
        <x:v>动态住宅流量包</x:v>
      </x:c>
      <x:c r="C17" s="161" t="str">
        <x:v>1/5/10/50/100GB及&gt;1000GB定制，按GB与有效期计价</x:v>
      </x:c>
      <x:c r="D17" s="161" t="str">
        <x:v>现有价格清单未记录动态住宅流量包</x:v>
      </x:c>
      <x:c r="E17" s="161" t="str">
        <x:v>材料未覆盖</x:v>
      </x:c>
      <x:c r="F17" s="161" t="str">
        <x:v>黄色</x:v>
      </x:c>
      <x:c r="G17" s="161" t="str">
        <x:v>AdsPower有明确流量包；YunLogin无直接价格证据</x:v>
      </x:c>
      <x:c r="H17" s="161" t="str">
        <x:v>P1</x:v>
      </x:c>
      <x:c r="I17" s="161" t="str">
        <x:v>核实YunLogin是否销售动态流量、计费单位和供应商</x:v>
      </x:c>
    </x:row>
    <x:row r="18">
      <x:c r="A18" s="165" t="str">
        <x:v>代理商品</x:v>
      </x:c>
      <x:c r="B18" s="165" t="str">
        <x:v>代理周期折扣</x:v>
      </x:c>
      <x:c r="C18" s="165" t="str">
        <x:v>静态代理30/90/180/360天，1/0.95/0.9/0.85</x:v>
      </x:c>
      <x:c r="D18" s="165" t="str">
        <x:v>家庭住宅1/3/12月含8折、4折和首月免费；云平台1/3/6/12月部分9/8.5/8折</x:v>
      </x:c>
      <x:c r="E18" s="165" t="str">
        <x:v>双方均有但规则不同</x:v>
      </x:c>
      <x:c r="F18" s="165" t="str">
        <x:v>蓝色</x:v>
      </x:c>
      <x:c r="G18" s="165" t="str">
        <x:v>周期和促销结构不同，且YunLogin按资源卡区分是否折扣</x:v>
      </x:c>
      <x:c r="H18" s="165" t="str">
        <x:v>—</x:v>
      </x:c>
      <x:c r="I18" s="165" t="str">
        <x:v>将常规折扣、限时活动和供应商促销分层记录</x:v>
      </x:c>
    </x:row>
    <x:row r="19">
      <x:c r="A19" s="175" t="str">
        <x:v>代理商品</x:v>
      </x:c>
      <x:c r="B19" s="175" t="str">
        <x:v>首月免费活动</x:v>
      </x:c>
      <x:c r="C19" s="175" t="str">
        <x:v>价格清单未记录同类活动</x:v>
      </x:c>
      <x:c r="D19" s="175" t="str">
        <x:v>家庭住宅3/12月满足条件时首月免费，截止2026-09-09</x:v>
      </x:c>
      <x:c r="E19" s="175" t="str">
        <x:v>仅YunLogin确认</x:v>
      </x:c>
      <x:c r="F19" s="175" t="str">
        <x:v>灰色</x:v>
      </x:c>
      <x:c r="G19" s="175" t="str">
        <x:v>YunLogin当前促销更强，但具有明确截止日期</x:v>
      </x:c>
      <x:c r="H19" s="175" t="str">
        <x:v>—</x:v>
      </x:c>
      <x:c r="I19" s="175" t="str">
        <x:v>到期后重新核实，不把活动价视为常规定价</x:v>
      </x:c>
    </x:row>
    <x:row r="20">
      <x:c r="A20" s="161" t="str">
        <x:v>增值商品</x:v>
      </x:c>
      <x:c r="B20" s="161" t="str">
        <x:v>付费RPA模板</x:v>
      </x:c>
      <x:c r="C20" s="161" t="str">
        <x:v>已确认模板商品；示例$6，含手续费后$7.12</x:v>
      </x:c>
      <x:c r="D20" s="161" t="str">
        <x:v>现有价格清单未记录付费RPA模板</x:v>
      </x:c>
      <x:c r="E20" s="161" t="str">
        <x:v>材料未覆盖</x:v>
      </x:c>
      <x:c r="F20" s="161" t="str">
        <x:v>黄色</x:v>
      </x:c>
      <x:c r="G20" s="161" t="str">
        <x:v>AdsPower有增值内容交易证据；YunLogin无价格证据</x:v>
      </x:c>
      <x:c r="H20" s="161" t="str">
        <x:v>P2</x:v>
      </x:c>
      <x:c r="I20" s="161" t="str">
        <x:v>先验证模板供给、交易规模、质量责任和退款规则</x:v>
      </x:c>
    </x:row>
    <x:row r="21">
      <x:c r="A21" s="161" t="str">
        <x:v>支付与钱包</x:v>
      </x:c>
      <x:c r="B21" s="161" t="str">
        <x:v>支付手续费</x:v>
      </x:c>
      <x:c r="C21" s="161" t="str">
        <x:v>常见规则：2%×订单金额+$1；代理、终身环境、模板有示例</x:v>
      </x:c>
      <x:c r="D21" s="161" t="str">
        <x:v>现有订单示例未显示同类额外手续费</x:v>
      </x:c>
      <x:c r="E21" s="161" t="str">
        <x:v>材料未覆盖</x:v>
      </x:c>
      <x:c r="F21" s="161" t="str">
        <x:v>黄色</x:v>
      </x:c>
      <x:c r="G21" s="161" t="str">
        <x:v>不能因YunLogin示例未显示就断言永久免手续费</x:v>
      </x:c>
      <x:c r="H21" s="161" t="str">
        <x:v>P1</x:v>
      </x:c>
      <x:c r="I21" s="161" t="str">
        <x:v>核实各支付渠道、商品和地区的手续费承担方</x:v>
      </x:c>
    </x:row>
    <x:row r="22">
      <x:c r="A22" s="165" t="str">
        <x:v>支付与钱包</x:v>
      </x:c>
      <x:c r="B22" s="165" t="str">
        <x:v>多币种钱包</x:v>
      </x:c>
      <x:c r="C22" s="165" t="str">
        <x:v>USD、BRL、PLN、VND</x:v>
      </x:c>
      <x:c r="D22" s="165" t="str">
        <x:v>云币按1元=1云币，当前为人民币口径</x:v>
      </x:c>
      <x:c r="E22" s="165" t="str">
        <x:v>双方均有但币种范围不同</x:v>
      </x:c>
      <x:c r="F22" s="165" t="str">
        <x:v>蓝色</x:v>
      </x:c>
      <x:c r="G22" s="165" t="str">
        <x:v>均有余额体系；AdsPower覆盖多币种，YunLogin偏人民币市场</x:v>
      </x:c>
      <x:c r="H22" s="165" t="str">
        <x:v>P1</x:v>
      </x:c>
      <x:c r="I22" s="165" t="str">
        <x:v>结合目标市场评估多币种、汇兑和本地支付需求</x:v>
      </x:c>
    </x:row>
    <x:row r="23">
      <x:c r="A23" s="165" t="str">
        <x:v>支付与钱包</x:v>
      </x:c>
      <x:c r="B23" s="165" t="str">
        <x:v>支付渠道</x:v>
      </x:c>
      <x:c r="C23" s="165" t="str">
        <x:v>Alipay、WeChat Pay、Card、PayPal、PIX、VietQR、momo、ZaloPay等</x:v>
      </x:c>
      <x:c r="D23" s="165" t="str">
        <x:v>支付宝、微信、云币；其他方式咨询客服</x:v>
      </x:c>
      <x:c r="E23" s="165" t="str">
        <x:v>双方均有但覆盖不同</x:v>
      </x:c>
      <x:c r="F23" s="165" t="str">
        <x:v>蓝色</x:v>
      </x:c>
      <x:c r="G23" s="165" t="str">
        <x:v>AdsPower国际本地化渠道更广</x:v>
      </x:c>
      <x:c r="H23" s="165" t="str">
        <x:v>P1</x:v>
      </x:c>
      <x:c r="I23" s="165" t="str">
        <x:v>按重点国家支付成功率和成本确定渠道优先级</x:v>
      </x:c>
    </x:row>
    <x:row r="24">
      <x:c r="A24" s="175" t="str">
        <x:v>支付与钱包</x:v>
      </x:c>
      <x:c r="B24" s="175" t="str">
        <x:v>固定/自定义充值与CDKEY</x:v>
      </x:c>
      <x:c r="C24" s="175" t="str">
        <x:v>钱包充值存在，完整固定档位与CDKEY规则未确认</x:v>
      </x:c>
      <x:c r="D24" s="175" t="str">
        <x:v>¥50/500/1000/5000/10000、自定义金额、CDKEY</x:v>
      </x:c>
      <x:c r="E24" s="175" t="str">
        <x:v>仅YunLogin确认</x:v>
      </x:c>
      <x:c r="F24" s="175" t="str">
        <x:v>灰色</x:v>
      </x:c>
      <x:c r="G24" s="175" t="str">
        <x:v>YunLogin证据更完整，不能反推AdsPower没有</x:v>
      </x:c>
      <x:c r="H24" s="175" t="str">
        <x:v>—</x:v>
      </x:c>
      <x:c r="I24" s="175" t="str">
        <x:v>比较充值转化、沉淀余额和合规成本</x:v>
      </x:c>
    </x:row>
    <x:row r="25">
      <x:c r="A25" s="175" t="str">
        <x:v>订单结算</x:v>
      </x:c>
      <x:c r="B25" s="175" t="str">
        <x:v>购物车多商品合并结算</x:v>
      </x:c>
      <x:c r="C25" s="175" t="str">
        <x:v>现有价格清单未记录独立购物车模式</x:v>
      </x:c>
      <x:c r="D25" s="175" t="str">
        <x:v>支持多选商品、子订单、优惠、批量删除和合并支付</x:v>
      </x:c>
      <x:c r="E25" s="175" t="str">
        <x:v>仅YunLogin确认</x:v>
      </x:c>
      <x:c r="F25" s="175" t="str">
        <x:v>灰色</x:v>
      </x:c>
      <x:c r="G25" s="175" t="str">
        <x:v>YunLogin已确认，AdsPower证据不足</x:v>
      </x:c>
      <x:c r="H25" s="175" t="str">
        <x:v>—</x:v>
      </x:c>
      <x:c r="I25" s="175" t="str">
        <x:v>衡量跨代理/套餐的连带购买率和优惠分摊复杂度</x:v>
      </x:c>
    </x:row>
    <x:row r="26">
      <x:c r="A26" s="163" t="str">
        <x:v>续费留存</x:v>
      </x:c>
      <x:c r="B26" s="163" t="str">
        <x:v>自动续费</x:v>
      </x:c>
      <x:c r="C26" s="163" t="str">
        <x:v>套餐及代理可从钱包续期</x:v>
      </x:c>
      <x:c r="D26" s="163" t="str">
        <x:v>代理与套餐均有自动续费入口，套餐从云币余额扣款</x:v>
      </x:c>
      <x:c r="E26" s="163" t="str">
        <x:v>双方核心模式一致</x:v>
      </x:c>
      <x:c r="F26" s="163" t="str">
        <x:v>绿色</x:v>
      </x:c>
      <x:c r="G26" s="163" t="str">
        <x:v>双方均用余额与自动续费降低中断</x:v>
      </x:c>
      <x:c r="H26" s="163" t="str">
        <x:v>—</x:v>
      </x:c>
      <x:c r="I26" s="163" t="str">
        <x:v>核实价格变更、余额不足、失败重试和取消规则</x:v>
      </x:c>
    </x:row>
    <x:row r="27">
      <x:c r="A27" s="176" t="str">
        <x:v>售后</x:v>
      </x:c>
      <x:c r="B27" s="176" t="str">
        <x:v>退款、税费和发票</x:v>
      </x:c>
      <x:c r="C27" s="176" t="str">
        <x:v>大部分规则仍待补充；终身环境明确不退款</x:v>
      </x:c>
      <x:c r="D27" s="176" t="str">
        <x:v>代理不可退换、套餐减配不退；其余规则待补充</x:v>
      </x:c>
      <x:c r="E27" s="176" t="str">
        <x:v>双方信息均不完整</x:v>
      </x:c>
      <x:c r="F27" s="176" t="str">
        <x:v>灰色</x:v>
      </x:c>
      <x:c r="G27" s="176" t="str">
        <x:v>无法进行完整TCO和售后风险比较</x:v>
      </x:c>
      <x:c r="H27" s="176" t="str">
        <x:v>P0</x:v>
      </x:c>
      <x:c r="I27" s="176" t="str">
        <x:v>补齐正式退款政策、税费、发票、到账SLA和优惠回收规则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82b36384eb34b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5" hidden="0" customWidth="1"/>
    <x:col min="5" max="5" width="18" hidden="0" customWidth="1"/>
    <x:col min="6" max="6" width="18" hidden="0" customWidth="1"/>
    <x:col min="7" max="7" width="20" hidden="0" customWidth="1"/>
    <x:col min="8" max="8" width="15" hidden="0" customWidth="1"/>
    <x:col min="9" max="9" width="18" hidden="0" customWidth="1"/>
    <x:col min="10" max="10" width="19" hidden="0" customWidth="1"/>
    <x:col min="11" max="11" width="12" hidden="0" customWidth="1"/>
    <x:col min="12" max="12" width="26" hidden="0" customWidth="1"/>
  </x:cols>
  <x:sheetData>
    <x:row r="1">
      <x:c r="A1" s="150" t="str">
        <x:v>同环境数、同周期浏览器套餐金额敏感性比较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</x:row>
    <x:row r="2">
      <x:c r="A2" s="177" t="str">
        <x:v>仅比较环境商品金额：AdsPower按USD计价并用可编辑分析汇率折算；不含双方成员费、AdsPower支付手续费、优惠券、现套餐抵扣和功能权益差异。结果不是实时成交价。</x:v>
      </x:c>
      <x:c r="B2" s="177"/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</x:row>
    <x:row r="3">
      <x:c r="A3" s="171" t="str">
        <x:v>环境数</x:v>
      </x:c>
      <x:c r="B3" s="172" t="str">
        <x:v>周期（天）</x:v>
      </x:c>
      <x:c r="C3" s="172" t="str">
        <x:v>Ads月基价USD</x:v>
      </x:c>
      <x:c r="D3" s="172" t="str">
        <x:v>Ads周期折扣</x:v>
      </x:c>
      <x:c r="E3" s="172" t="str">
        <x:v>Ads总价USD</x:v>
      </x:c>
      <x:c r="F3" s="172" t="str">
        <x:v>Ads折算CNY</x:v>
      </x:c>
      <x:c r="G3" s="172" t="str">
        <x:v>Yun原始月价CNY</x:v>
      </x:c>
      <x:c r="H3" s="172" t="str">
        <x:v>Yun周期折扣</x:v>
      </x:c>
      <x:c r="I3" s="172" t="str">
        <x:v>Yun总价CNY</x:v>
      </x:c>
      <x:c r="J3" s="172" t="str">
        <x:v>Yun-Ads差额CNY</x:v>
      </x:c>
      <x:c r="K3" s="172" t="str">
        <x:v>Yun/Ads</x:v>
      </x:c>
      <x:c r="L3" s="173" t="str">
        <x:v>分析结论</x:v>
      </x:c>
    </x:row>
    <x:row r="4">
      <x:c r="A4" s="178" t="n">
        <x:v>10</x:v>
      </x:c>
      <x:c r="B4" s="178" t="n">
        <x:v>30</x:v>
      </x:c>
      <x:c r="C4" s="179" t="n">
        <x:f>'AdsPower套餐基价'!B4</x:f>
        <x:v>9</x:v>
      </x:c>
      <x:c r="D4" s="180" t="n">
        <x:v>1</x:v>
      </x:c>
      <x:c r="E4" s="179" t="n">
        <x:f>C4*(B4/30)*D4</x:f>
        <x:v>9</x:v>
      </x:c>
      <x:c r="F4" s="181" t="n">
        <x:f>E4*'假设与图例'!$B$4</x:f>
        <x:v>64.8</x:v>
      </x:c>
      <x:c r="G4" s="181" t="n">
        <x:f>'YunLogin套餐价格'!B4</x:f>
        <x:v>19</x:v>
      </x:c>
      <x:c r="H4" s="180" t="n">
        <x:v>0.85</x:v>
      </x:c>
      <x:c r="I4" s="181" t="n">
        <x:f>'YunLogin套餐价格'!C4</x:f>
        <x:v>16.15</x:v>
      </x:c>
      <x:c r="J4" s="181" t="n">
        <x:f>I4-F4</x:f>
        <x:v>-48.65</x:v>
      </x:c>
      <x:c r="K4" s="182" t="n">
        <x:f>I4/F4</x:f>
        <x:v>0.2492283950617284</x:v>
      </x:c>
      <x:c r="L4" s="178" t="str">
        <x:f>IF(K4&lt;0.8,"Yun页面金额明显较低",IF(K4&gt;1.2,"Ads折算金额明显较低","金额接近；需比较权益"))</x:f>
        <x:v>Yun页面金额明显较低</x:v>
      </x:c>
    </x:row>
    <x:row r="5">
      <x:c r="A5" s="183" t="n">
        <x:v>10</x:v>
      </x:c>
      <x:c r="B5" s="183" t="n">
        <x:v>90</x:v>
      </x:c>
      <x:c r="C5" s="184" t="n">
        <x:f>'AdsPower套餐基价'!B4</x:f>
        <x:v>9</x:v>
      </x:c>
      <x:c r="D5" s="185" t="n">
        <x:v>0.9</x:v>
      </x:c>
      <x:c r="E5" s="184" t="n">
        <x:f>C5*(B5/30)*D5</x:f>
        <x:v>24.3</x:v>
      </x:c>
      <x:c r="F5" s="186" t="n">
        <x:f>E5*'假设与图例'!$B$4</x:f>
        <x:v>174.96</x:v>
      </x:c>
      <x:c r="G5" s="186" t="n">
        <x:f>'YunLogin套餐价格'!B4</x:f>
        <x:v>19</x:v>
      </x:c>
      <x:c r="H5" s="185" t="n">
        <x:v>0.8</x:v>
      </x:c>
      <x:c r="I5" s="186" t="n">
        <x:f>'YunLogin套餐价格'!D4</x:f>
        <x:v>45.6</x:v>
      </x:c>
      <x:c r="J5" s="186" t="n">
        <x:f>I5-F5</x:f>
        <x:v>-129.36</x:v>
      </x:c>
      <x:c r="K5" s="187" t="n">
        <x:f>I5/F5</x:f>
        <x:v>0.2606310013717421</x:v>
      </x:c>
      <x:c r="L5" s="183" t="str">
        <x:f>IF(K5&lt;0.8,"Yun页面金额明显较低",IF(K5&gt;1.2,"Ads折算金额明显较低","金额接近；需比较权益"))</x:f>
        <x:v>Yun页面金额明显较低</x:v>
      </x:c>
    </x:row>
    <x:row r="6">
      <x:c r="A6" s="183" t="n">
        <x:v>10</x:v>
      </x:c>
      <x:c r="B6" s="183" t="n">
        <x:v>180</x:v>
      </x:c>
      <x:c r="C6" s="184" t="n">
        <x:f>'AdsPower套餐基价'!B4</x:f>
        <x:v>9</x:v>
      </x:c>
      <x:c r="D6" s="185" t="n">
        <x:v>0.85</x:v>
      </x:c>
      <x:c r="E6" s="184" t="n">
        <x:f>C6*(B6/30)*D6</x:f>
        <x:v>45.9</x:v>
      </x:c>
      <x:c r="F6" s="186" t="n">
        <x:f>E6*'假设与图例'!$B$4</x:f>
        <x:v>330.48</x:v>
      </x:c>
      <x:c r="G6" s="186" t="n">
        <x:f>'YunLogin套餐价格'!B4</x:f>
        <x:v>19</x:v>
      </x:c>
      <x:c r="H6" s="185" t="n">
        <x:v>0.75</x:v>
      </x:c>
      <x:c r="I6" s="186" t="n">
        <x:f>'YunLogin套餐价格'!E4</x:f>
        <x:v>85.5</x:v>
      </x:c>
      <x:c r="J6" s="186" t="n">
        <x:f>I6-F6</x:f>
        <x:v>-244.98000000000002</x:v>
      </x:c>
      <x:c r="K6" s="187" t="n">
        <x:f>I6/F6</x:f>
        <x:v>0.2587145969498911</x:v>
      </x:c>
      <x:c r="L6" s="183" t="str">
        <x:f>IF(K6&lt;0.8,"Yun页面金额明显较低",IF(K6&gt;1.2,"Ads折算金额明显较低","金额接近；需比较权益"))</x:f>
        <x:v>Yun页面金额明显较低</x:v>
      </x:c>
    </x:row>
    <x:row r="7">
      <x:c r="A7" s="183" t="n">
        <x:v>10</x:v>
      </x:c>
      <x:c r="B7" s="183" t="n">
        <x:v>360</x:v>
      </x:c>
      <x:c r="C7" s="184" t="n">
        <x:f>'AdsPower套餐基价'!B4</x:f>
        <x:v>9</x:v>
      </x:c>
      <x:c r="D7" s="185" t="n">
        <x:v>0.8</x:v>
      </x:c>
      <x:c r="E7" s="184" t="n">
        <x:f>C7*(B7/30)*D7</x:f>
        <x:v>86.4</x:v>
      </x:c>
      <x:c r="F7" s="186" t="n">
        <x:f>E7*'假设与图例'!$B$4</x:f>
        <x:v>622.08</x:v>
      </x:c>
      <x:c r="G7" s="186" t="n">
        <x:f>'YunLogin套餐价格'!B4</x:f>
        <x:v>19</x:v>
      </x:c>
      <x:c r="H7" s="185" t="n">
        <x:v>0.5</x:v>
      </x:c>
      <x:c r="I7" s="186" t="n">
        <x:f>'YunLogin套餐价格'!F4</x:f>
        <x:v>114</x:v>
      </x:c>
      <x:c r="J7" s="186" t="n">
        <x:f>I7-F7</x:f>
        <x:v>-508.08000000000004</x:v>
      </x:c>
      <x:c r="K7" s="187" t="n">
        <x:f>I7/F7</x:f>
        <x:v>0.18325617283950615</x:v>
      </x:c>
      <x:c r="L7" s="183" t="str">
        <x:f>IF(K7&lt;0.8,"Yun页面金额明显较低",IF(K7&gt;1.2,"Ads折算金额明显较低","金额接近；需比较权益"))</x:f>
        <x:v>Yun页面金额明显较低</x:v>
      </x:c>
    </x:row>
    <x:row r="8">
      <x:c r="A8" s="183" t="n">
        <x:v>50</x:v>
      </x:c>
      <x:c r="B8" s="183" t="n">
        <x:v>30</x:v>
      </x:c>
      <x:c r="C8" s="184" t="n">
        <x:f>'AdsPower套餐基价'!B5</x:f>
        <x:v>21</x:v>
      </x:c>
      <x:c r="D8" s="185" t="n">
        <x:v>1</x:v>
      </x:c>
      <x:c r="E8" s="184" t="n">
        <x:f>C8*(B8/30)*D8</x:f>
        <x:v>21</x:v>
      </x:c>
      <x:c r="F8" s="186" t="n">
        <x:f>E8*'假设与图例'!$B$4</x:f>
        <x:v>151.20000000000002</x:v>
      </x:c>
      <x:c r="G8" s="186" t="n">
        <x:f>'YunLogin套餐价格'!B5</x:f>
        <x:v>130.2</x:v>
      </x:c>
      <x:c r="H8" s="185" t="n">
        <x:v>0.85</x:v>
      </x:c>
      <x:c r="I8" s="186" t="n">
        <x:f>'YunLogin套餐价格'!C5</x:f>
        <x:v>110.67</x:v>
      </x:c>
      <x:c r="J8" s="186" t="n">
        <x:f>I8-F8</x:f>
        <x:v>-40.530000000000015</x:v>
      </x:c>
      <x:c r="K8" s="187" t="n">
        <x:f>I8/F8</x:f>
        <x:v>0.7319444444444444</x:v>
      </x:c>
      <x:c r="L8" s="183" t="str">
        <x:f>IF(K8&lt;0.8,"Yun页面金额明显较低",IF(K8&gt;1.2,"Ads折算金额明显较低","金额接近；需比较权益"))</x:f>
        <x:v>Yun页面金额明显较低</x:v>
      </x:c>
    </x:row>
    <x:row r="9">
      <x:c r="A9" s="183" t="n">
        <x:v>50</x:v>
      </x:c>
      <x:c r="B9" s="183" t="n">
        <x:v>90</x:v>
      </x:c>
      <x:c r="C9" s="184" t="n">
        <x:f>'AdsPower套餐基价'!B5</x:f>
        <x:v>21</x:v>
      </x:c>
      <x:c r="D9" s="185" t="n">
        <x:v>0.9</x:v>
      </x:c>
      <x:c r="E9" s="184" t="n">
        <x:f>C9*(B9/30)*D9</x:f>
        <x:v>56.7</x:v>
      </x:c>
      <x:c r="F9" s="186" t="n">
        <x:f>E9*'假设与图例'!$B$4</x:f>
        <x:v>408.24</x:v>
      </x:c>
      <x:c r="G9" s="186" t="n">
        <x:f>'YunLogin套餐价格'!B5</x:f>
        <x:v>130.2</x:v>
      </x:c>
      <x:c r="H9" s="185" t="n">
        <x:v>0.8</x:v>
      </x:c>
      <x:c r="I9" s="186" t="n">
        <x:f>'YunLogin套餐价格'!D5</x:f>
        <x:v>312.48</x:v>
      </x:c>
      <x:c r="J9" s="186" t="n">
        <x:f>I9-F9</x:f>
        <x:v>-95.75999999999999</x:v>
      </x:c>
      <x:c r="K9" s="187" t="n">
        <x:f>I9/F9</x:f>
        <x:v>0.7654320987654322</x:v>
      </x:c>
      <x:c r="L9" s="183" t="str">
        <x:f>IF(K9&lt;0.8,"Yun页面金额明显较低",IF(K9&gt;1.2,"Ads折算金额明显较低","金额接近；需比较权益"))</x:f>
        <x:v>Yun页面金额明显较低</x:v>
      </x:c>
    </x:row>
    <x:row r="10">
      <x:c r="A10" s="183" t="n">
        <x:v>50</x:v>
      </x:c>
      <x:c r="B10" s="183" t="n">
        <x:v>180</x:v>
      </x:c>
      <x:c r="C10" s="184" t="n">
        <x:f>'AdsPower套餐基价'!B5</x:f>
        <x:v>21</x:v>
      </x:c>
      <x:c r="D10" s="185" t="n">
        <x:v>0.85</x:v>
      </x:c>
      <x:c r="E10" s="184" t="n">
        <x:f>C10*(B10/30)*D10</x:f>
        <x:v>107.1</x:v>
      </x:c>
      <x:c r="F10" s="186" t="n">
        <x:f>E10*'假设与图例'!$B$4</x:f>
        <x:v>771.12</x:v>
      </x:c>
      <x:c r="G10" s="186" t="n">
        <x:f>'YunLogin套餐价格'!B5</x:f>
        <x:v>130.2</x:v>
      </x:c>
      <x:c r="H10" s="185" t="n">
        <x:v>0.75</x:v>
      </x:c>
      <x:c r="I10" s="186" t="n">
        <x:f>'YunLogin套餐价格'!E5</x:f>
        <x:v>585.9</x:v>
      </x:c>
      <x:c r="J10" s="186" t="n">
        <x:f>I10-F10</x:f>
        <x:v>-185.22000000000003</x:v>
      </x:c>
      <x:c r="K10" s="187" t="n">
        <x:f>I10/F10</x:f>
        <x:v>0.7598039215686274</x:v>
      </x:c>
      <x:c r="L10" s="183" t="str">
        <x:f>IF(K10&lt;0.8,"Yun页面金额明显较低",IF(K10&gt;1.2,"Ads折算金额明显较低","金额接近；需比较权益"))</x:f>
        <x:v>Yun页面金额明显较低</x:v>
      </x:c>
    </x:row>
    <x:row r="11">
      <x:c r="A11" s="183" t="n">
        <x:v>50</x:v>
      </x:c>
      <x:c r="B11" s="183" t="n">
        <x:v>360</x:v>
      </x:c>
      <x:c r="C11" s="184" t="n">
        <x:f>'AdsPower套餐基价'!B5</x:f>
        <x:v>21</x:v>
      </x:c>
      <x:c r="D11" s="185" t="n">
        <x:v>0.8</x:v>
      </x:c>
      <x:c r="E11" s="184" t="n">
        <x:f>C11*(B11/30)*D11</x:f>
        <x:v>201.60000000000002</x:v>
      </x:c>
      <x:c r="F11" s="186" t="n">
        <x:f>E11*'假设与图例'!$B$4</x:f>
        <x:v>1451.5200000000002</x:v>
      </x:c>
      <x:c r="G11" s="186" t="n">
        <x:f>'YunLogin套餐价格'!B5</x:f>
        <x:v>130.2</x:v>
      </x:c>
      <x:c r="H11" s="185" t="n">
        <x:v>0.5</x:v>
      </x:c>
      <x:c r="I11" s="186" t="n">
        <x:f>'YunLogin套餐价格'!F5</x:f>
        <x:v>781.2</x:v>
      </x:c>
      <x:c r="J11" s="186" t="n">
        <x:f>I11-F11</x:f>
        <x:v>-670.3200000000002</x:v>
      </x:c>
      <x:c r="K11" s="187" t="n">
        <x:f>I11/F11</x:f>
        <x:v>0.5381944444444444</x:v>
      </x:c>
      <x:c r="L11" s="183" t="str">
        <x:f>IF(K11&lt;0.8,"Yun页面金额明显较低",IF(K11&gt;1.2,"Ads折算金额明显较低","金额接近；需比较权益"))</x:f>
        <x:v>Yun页面金额明显较低</x:v>
      </x:c>
    </x:row>
    <x:row r="12">
      <x:c r="A12" s="183" t="n">
        <x:v>100</x:v>
      </x:c>
      <x:c r="B12" s="183" t="n">
        <x:v>30</x:v>
      </x:c>
      <x:c r="C12" s="184" t="n">
        <x:f>'AdsPower套餐基价'!B6</x:f>
        <x:v>36</x:v>
      </x:c>
      <x:c r="D12" s="185" t="n">
        <x:v>1</x:v>
      </x:c>
      <x:c r="E12" s="184" t="n">
        <x:f>C12*(B12/30)*D12</x:f>
        <x:v>36</x:v>
      </x:c>
      <x:c r="F12" s="186" t="n">
        <x:f>E12*'假设与图例'!$B$4</x:f>
        <x:v>259.2</x:v>
      </x:c>
      <x:c r="G12" s="186" t="n">
        <x:f>'YunLogin套餐价格'!B6</x:f>
        <x:v>198.1</x:v>
      </x:c>
      <x:c r="H12" s="185" t="n">
        <x:v>0.85</x:v>
      </x:c>
      <x:c r="I12" s="186" t="n">
        <x:f>'YunLogin套餐价格'!C6</x:f>
        <x:v>168.39</x:v>
      </x:c>
      <x:c r="J12" s="186" t="n">
        <x:f>I12-F12</x:f>
        <x:v>-90.81</x:v>
      </x:c>
      <x:c r="K12" s="187" t="n">
        <x:f>I12/F12</x:f>
        <x:v>0.6496527777777777</x:v>
      </x:c>
      <x:c r="L12" s="183" t="str">
        <x:f>IF(K12&lt;0.8,"Yun页面金额明显较低",IF(K12&gt;1.2,"Ads折算金额明显较低","金额接近；需比较权益"))</x:f>
        <x:v>Yun页面金额明显较低</x:v>
      </x:c>
    </x:row>
    <x:row r="13">
      <x:c r="A13" s="183" t="n">
        <x:v>100</x:v>
      </x:c>
      <x:c r="B13" s="183" t="n">
        <x:v>90</x:v>
      </x:c>
      <x:c r="C13" s="184" t="n">
        <x:f>'AdsPower套餐基价'!B6</x:f>
        <x:v>36</x:v>
      </x:c>
      <x:c r="D13" s="185" t="n">
        <x:v>0.9</x:v>
      </x:c>
      <x:c r="E13" s="184" t="n">
        <x:f>C13*(B13/30)*D13</x:f>
        <x:v>97.2</x:v>
      </x:c>
      <x:c r="F13" s="186" t="n">
        <x:f>E13*'假设与图例'!$B$4</x:f>
        <x:v>699.84</x:v>
      </x:c>
      <x:c r="G13" s="186" t="n">
        <x:f>'YunLogin套餐价格'!B6</x:f>
        <x:v>198.1</x:v>
      </x:c>
      <x:c r="H13" s="185" t="n">
        <x:v>0.8</x:v>
      </x:c>
      <x:c r="I13" s="186" t="n">
        <x:f>'YunLogin套餐价格'!D6</x:f>
        <x:v>475.44</x:v>
      </x:c>
      <x:c r="J13" s="186" t="n">
        <x:f>I13-F13</x:f>
        <x:v>-224.40000000000003</x:v>
      </x:c>
      <x:c r="K13" s="187" t="n">
        <x:f>I13/F13</x:f>
        <x:v>0.6793552812071331</x:v>
      </x:c>
      <x:c r="L13" s="183" t="str">
        <x:f>IF(K13&lt;0.8,"Yun页面金额明显较低",IF(K13&gt;1.2,"Ads折算金额明显较低","金额接近；需比较权益"))</x:f>
        <x:v>Yun页面金额明显较低</x:v>
      </x:c>
    </x:row>
    <x:row r="14">
      <x:c r="A14" s="183" t="n">
        <x:v>100</x:v>
      </x:c>
      <x:c r="B14" s="183" t="n">
        <x:v>180</x:v>
      </x:c>
      <x:c r="C14" s="184" t="n">
        <x:f>'AdsPower套餐基价'!B6</x:f>
        <x:v>36</x:v>
      </x:c>
      <x:c r="D14" s="185" t="n">
        <x:v>0.85</x:v>
      </x:c>
      <x:c r="E14" s="184" t="n">
        <x:f>C14*(B14/30)*D14</x:f>
        <x:v>183.6</x:v>
      </x:c>
      <x:c r="F14" s="186" t="n">
        <x:f>E14*'假设与图例'!$B$4</x:f>
        <x:v>1321.92</x:v>
      </x:c>
      <x:c r="G14" s="186" t="n">
        <x:f>'YunLogin套餐价格'!B6</x:f>
        <x:v>198.1</x:v>
      </x:c>
      <x:c r="H14" s="185" t="n">
        <x:v>0.75</x:v>
      </x:c>
      <x:c r="I14" s="186" t="n">
        <x:f>'YunLogin套餐价格'!E6</x:f>
        <x:v>891.45</x:v>
      </x:c>
      <x:c r="J14" s="186" t="n">
        <x:f>I14-F14</x:f>
        <x:v>-430.47</x:v>
      </x:c>
      <x:c r="K14" s="187" t="n">
        <x:f>I14/F14</x:f>
        <x:v>0.6743600217864923</x:v>
      </x:c>
      <x:c r="L14" s="183" t="str">
        <x:f>IF(K14&lt;0.8,"Yun页面金额明显较低",IF(K14&gt;1.2,"Ads折算金额明显较低","金额接近；需比较权益"))</x:f>
        <x:v>Yun页面金额明显较低</x:v>
      </x:c>
    </x:row>
    <x:row r="15">
      <x:c r="A15" s="183" t="n">
        <x:v>100</x:v>
      </x:c>
      <x:c r="B15" s="183" t="n">
        <x:v>360</x:v>
      </x:c>
      <x:c r="C15" s="184" t="n">
        <x:f>'AdsPower套餐基价'!B6</x:f>
        <x:v>36</x:v>
      </x:c>
      <x:c r="D15" s="185" t="n">
        <x:v>0.8</x:v>
      </x:c>
      <x:c r="E15" s="184" t="n">
        <x:f>C15*(B15/30)*D15</x:f>
        <x:v>345.6</x:v>
      </x:c>
      <x:c r="F15" s="186" t="n">
        <x:f>E15*'假设与图例'!$B$4</x:f>
        <x:v>2488.32</x:v>
      </x:c>
      <x:c r="G15" s="186" t="n">
        <x:f>'YunLogin套餐价格'!B6</x:f>
        <x:v>198.1</x:v>
      </x:c>
      <x:c r="H15" s="185" t="n">
        <x:v>0.5</x:v>
      </x:c>
      <x:c r="I15" s="186" t="n">
        <x:f>'YunLogin套餐价格'!F6</x:f>
        <x:v>1188.6</x:v>
      </x:c>
      <x:c r="J15" s="186" t="n">
        <x:f>I15-F15</x:f>
        <x:v>-1299.7200000000003</x:v>
      </x:c>
      <x:c r="K15" s="187" t="n">
        <x:f>I15/F15</x:f>
        <x:v>0.47767168209876537</x:v>
      </x:c>
      <x:c r="L15" s="183" t="str">
        <x:f>IF(K15&lt;0.8,"Yun页面金额明显较低",IF(K15&gt;1.2,"Ads折算金额明显较低","金额接近；需比较权益"))</x:f>
        <x:v>Yun页面金额明显较低</x:v>
      </x:c>
    </x:row>
    <x:row r="16">
      <x:c r="A16" s="183" t="n">
        <x:v>200</x:v>
      </x:c>
      <x:c r="B16" s="183" t="n">
        <x:v>30</x:v>
      </x:c>
      <x:c r="C16" s="184" t="n">
        <x:f>'AdsPower套餐基价'!B7</x:f>
        <x:v>61</x:v>
      </x:c>
      <x:c r="D16" s="185" t="n">
        <x:v>1</x:v>
      </x:c>
      <x:c r="E16" s="184" t="n">
        <x:f>C16*(B16/30)*D16</x:f>
        <x:v>61</x:v>
      </x:c>
      <x:c r="F16" s="186" t="n">
        <x:f>E16*'假设与图例'!$B$4</x:f>
        <x:v>439.2</x:v>
      </x:c>
      <x:c r="G16" s="186" t="n">
        <x:f>'YunLogin套餐价格'!B7</x:f>
        <x:v>302.1</x:v>
      </x:c>
      <x:c r="H16" s="185" t="n">
        <x:v>0.85</x:v>
      </x:c>
      <x:c r="I16" s="186" t="n">
        <x:f>'YunLogin套餐价格'!C7</x:f>
        <x:v>256.79</x:v>
      </x:c>
      <x:c r="J16" s="186" t="n">
        <x:f>I16-F16</x:f>
        <x:v>-182.40999999999997</x:v>
      </x:c>
      <x:c r="K16" s="187" t="n">
        <x:f>I16/F16</x:f>
        <x:v>0.584676684881603</x:v>
      </x:c>
      <x:c r="L16" s="183" t="str">
        <x:f>IF(K16&lt;0.8,"Yun页面金额明显较低",IF(K16&gt;1.2,"Ads折算金额明显较低","金额接近；需比较权益"))</x:f>
        <x:v>Yun页面金额明显较低</x:v>
      </x:c>
    </x:row>
    <x:row r="17">
      <x:c r="A17" s="183" t="n">
        <x:v>200</x:v>
      </x:c>
      <x:c r="B17" s="183" t="n">
        <x:v>90</x:v>
      </x:c>
      <x:c r="C17" s="184" t="n">
        <x:f>'AdsPower套餐基价'!B7</x:f>
        <x:v>61</x:v>
      </x:c>
      <x:c r="D17" s="185" t="n">
        <x:v>0.9</x:v>
      </x:c>
      <x:c r="E17" s="184" t="n">
        <x:f>C17*(B17/30)*D17</x:f>
        <x:v>164.70000000000002</x:v>
      </x:c>
      <x:c r="F17" s="186" t="n">
        <x:f>E17*'假设与图例'!$B$4</x:f>
        <x:v>1185.8400000000001</x:v>
      </x:c>
      <x:c r="G17" s="186" t="n">
        <x:f>'YunLogin套餐价格'!B7</x:f>
        <x:v>302.1</x:v>
      </x:c>
      <x:c r="H17" s="185" t="n">
        <x:v>0.8</x:v>
      </x:c>
      <x:c r="I17" s="186" t="n">
        <x:f>'YunLogin套餐价格'!D7</x:f>
        <x:v>725.04</x:v>
      </x:c>
      <x:c r="J17" s="186" t="n">
        <x:f>I17-F17</x:f>
        <x:v>-460.8000000000002</x:v>
      </x:c>
      <x:c r="K17" s="187" t="n">
        <x:f>I17/F17</x:f>
        <x:v>0.6114146933819063</x:v>
      </x:c>
      <x:c r="L17" s="183" t="str">
        <x:f>IF(K17&lt;0.8,"Yun页面金额明显较低",IF(K17&gt;1.2,"Ads折算金额明显较低","金额接近；需比较权益"))</x:f>
        <x:v>Yun页面金额明显较低</x:v>
      </x:c>
    </x:row>
    <x:row r="18">
      <x:c r="A18" s="183" t="n">
        <x:v>200</x:v>
      </x:c>
      <x:c r="B18" s="183" t="n">
        <x:v>180</x:v>
      </x:c>
      <x:c r="C18" s="184" t="n">
        <x:f>'AdsPower套餐基价'!B7</x:f>
        <x:v>61</x:v>
      </x:c>
      <x:c r="D18" s="185" t="n">
        <x:v>0.85</x:v>
      </x:c>
      <x:c r="E18" s="184" t="n">
        <x:f>C18*(B18/30)*D18</x:f>
        <x:v>311.09999999999997</x:v>
      </x:c>
      <x:c r="F18" s="186" t="n">
        <x:f>E18*'假设与图例'!$B$4</x:f>
        <x:v>2239.9199999999996</x:v>
      </x:c>
      <x:c r="G18" s="186" t="n">
        <x:f>'YunLogin套餐价格'!B7</x:f>
        <x:v>302.1</x:v>
      </x:c>
      <x:c r="H18" s="185" t="n">
        <x:v>0.75</x:v>
      </x:c>
      <x:c r="I18" s="186" t="n">
        <x:f>'YunLogin套餐价格'!E7</x:f>
        <x:v>1359.45</x:v>
      </x:c>
      <x:c r="J18" s="186" t="n">
        <x:f>I18-F18</x:f>
        <x:v>-880.4699999999996</x:v>
      </x:c>
      <x:c r="K18" s="187" t="n">
        <x:f>I18/F18</x:f>
        <x:v>0.6069189971070397</x:v>
      </x:c>
      <x:c r="L18" s="183" t="str">
        <x:f>IF(K18&lt;0.8,"Yun页面金额明显较低",IF(K18&gt;1.2,"Ads折算金额明显较低","金额接近；需比较权益"))</x:f>
        <x:v>Yun页面金额明显较低</x:v>
      </x:c>
    </x:row>
    <x:row r="19">
      <x:c r="A19" s="183" t="n">
        <x:v>200</x:v>
      </x:c>
      <x:c r="B19" s="183" t="n">
        <x:v>360</x:v>
      </x:c>
      <x:c r="C19" s="184" t="n">
        <x:f>'AdsPower套餐基价'!B7</x:f>
        <x:v>61</x:v>
      </x:c>
      <x:c r="D19" s="185" t="n">
        <x:v>0.8</x:v>
      </x:c>
      <x:c r="E19" s="184" t="n">
        <x:f>C19*(B19/30)*D19</x:f>
        <x:v>585.6</x:v>
      </x:c>
      <x:c r="F19" s="186" t="n">
        <x:f>E19*'假设与图例'!$B$4</x:f>
        <x:v>4216.320000000001</x:v>
      </x:c>
      <x:c r="G19" s="186" t="n">
        <x:f>'YunLogin套餐价格'!B7</x:f>
        <x:v>302.1</x:v>
      </x:c>
      <x:c r="H19" s="185" t="n">
        <x:v>0.5</x:v>
      </x:c>
      <x:c r="I19" s="186" t="n">
        <x:f>'YunLogin套餐价格'!F7</x:f>
        <x:v>1812.6</x:v>
      </x:c>
      <x:c r="J19" s="186" t="n">
        <x:f>I19-F19</x:f>
        <x:v>-2403.7200000000007</x:v>
      </x:c>
      <x:c r="K19" s="187" t="n">
        <x:f>I19/F19</x:f>
        <x:v>0.4299009562841529</x:v>
      </x:c>
      <x:c r="L19" s="183" t="str">
        <x:f>IF(K19&lt;0.8,"Yun页面金额明显较低",IF(K19&gt;1.2,"Ads折算金额明显较低","金额接近；需比较权益"))</x:f>
        <x:v>Yun页面金额明显较低</x:v>
      </x:c>
    </x:row>
    <x:row r="20">
      <x:c r="A20" s="183" t="n">
        <x:v>500</x:v>
      </x:c>
      <x:c r="B20" s="183" t="n">
        <x:v>30</x:v>
      </x:c>
      <x:c r="C20" s="184" t="n">
        <x:f>'AdsPower套餐基价'!B8</x:f>
        <x:v>126</x:v>
      </x:c>
      <x:c r="D20" s="185" t="n">
        <x:v>1</x:v>
      </x:c>
      <x:c r="E20" s="184" t="n">
        <x:f>C20*(B20/30)*D20</x:f>
        <x:v>126</x:v>
      </x:c>
      <x:c r="F20" s="186" t="n">
        <x:f>E20*'假设与图例'!$B$4</x:f>
        <x:v>907.2</x:v>
      </x:c>
      <x:c r="G20" s="186" t="n">
        <x:f>'YunLogin套餐价格'!B8</x:f>
        <x:v>455.1</x:v>
      </x:c>
      <x:c r="H20" s="185" t="n">
        <x:v>0.85</x:v>
      </x:c>
      <x:c r="I20" s="186" t="n">
        <x:f>'YunLogin套餐价格'!C8</x:f>
        <x:v>386.84</x:v>
      </x:c>
      <x:c r="J20" s="186" t="n">
        <x:f>I20-F20</x:f>
        <x:v>-520.3600000000001</x:v>
      </x:c>
      <x:c r="K20" s="187" t="n">
        <x:f>I20/F20</x:f>
        <x:v>0.42641093474426806</x:v>
      </x:c>
      <x:c r="L20" s="183" t="str">
        <x:f>IF(K20&lt;0.8,"Yun页面金额明显较低",IF(K20&gt;1.2,"Ads折算金额明显较低","金额接近；需比较权益"))</x:f>
        <x:v>Yun页面金额明显较低</x:v>
      </x:c>
    </x:row>
    <x:row r="21">
      <x:c r="A21" s="183" t="n">
        <x:v>500</x:v>
      </x:c>
      <x:c r="B21" s="183" t="n">
        <x:v>90</x:v>
      </x:c>
      <x:c r="C21" s="184" t="n">
        <x:f>'AdsPower套餐基价'!B8</x:f>
        <x:v>126</x:v>
      </x:c>
      <x:c r="D21" s="185" t="n">
        <x:v>0.9</x:v>
      </x:c>
      <x:c r="E21" s="184" t="n">
        <x:f>C21*(B21/30)*D21</x:f>
        <x:v>340.2</x:v>
      </x:c>
      <x:c r="F21" s="186" t="n">
        <x:f>E21*'假设与图例'!$B$4</x:f>
        <x:v>2449.44</x:v>
      </x:c>
      <x:c r="G21" s="186" t="n">
        <x:f>'YunLogin套餐价格'!B8</x:f>
        <x:v>455.1</x:v>
      </x:c>
      <x:c r="H21" s="185" t="n">
        <x:v>0.8</x:v>
      </x:c>
      <x:c r="I21" s="186" t="n">
        <x:f>'YunLogin套餐价格'!D8</x:f>
        <x:v>1092.24</x:v>
      </x:c>
      <x:c r="J21" s="186" t="n">
        <x:f>I21-F21</x:f>
        <x:v>-1357.2</x:v>
      </x:c>
      <x:c r="K21" s="187" t="n">
        <x:f>I21/F21</x:f>
        <x:v>0.44591416813639034</x:v>
      </x:c>
      <x:c r="L21" s="183" t="str">
        <x:f>IF(K21&lt;0.8,"Yun页面金额明显较低",IF(K21&gt;1.2,"Ads折算金额明显较低","金额接近；需比较权益"))</x:f>
        <x:v>Yun页面金额明显较低</x:v>
      </x:c>
    </x:row>
    <x:row r="22">
      <x:c r="A22" s="183" t="n">
        <x:v>500</x:v>
      </x:c>
      <x:c r="B22" s="183" t="n">
        <x:v>180</x:v>
      </x:c>
      <x:c r="C22" s="184" t="n">
        <x:f>'AdsPower套餐基价'!B8</x:f>
        <x:v>126</x:v>
      </x:c>
      <x:c r="D22" s="185" t="n">
        <x:v>0.85</x:v>
      </x:c>
      <x:c r="E22" s="184" t="n">
        <x:f>C22*(B22/30)*D22</x:f>
        <x:v>642.6</x:v>
      </x:c>
      <x:c r="F22" s="186" t="n">
        <x:f>E22*'假设与图例'!$B$4</x:f>
        <x:v>4626.72</x:v>
      </x:c>
      <x:c r="G22" s="186" t="n">
        <x:f>'YunLogin套餐价格'!B8</x:f>
        <x:v>455.1</x:v>
      </x:c>
      <x:c r="H22" s="185" t="n">
        <x:v>0.75</x:v>
      </x:c>
      <x:c r="I22" s="186" t="n">
        <x:f>'YunLogin套餐价格'!E8</x:f>
        <x:v>2047.95</x:v>
      </x:c>
      <x:c r="J22" s="186" t="n">
        <x:f>I22-F22</x:f>
        <x:v>-2578.7700000000004</x:v>
      </x:c>
      <x:c r="K22" s="187" t="n">
        <x:f>I22/F22</x:f>
        <x:v>0.44263538748832865</x:v>
      </x:c>
      <x:c r="L22" s="183" t="str">
        <x:f>IF(K22&lt;0.8,"Yun页面金额明显较低",IF(K22&gt;1.2,"Ads折算金额明显较低","金额接近；需比较权益"))</x:f>
        <x:v>Yun页面金额明显较低</x:v>
      </x:c>
    </x:row>
    <x:row r="23">
      <x:c r="A23" s="183" t="n">
        <x:v>500</x:v>
      </x:c>
      <x:c r="B23" s="183" t="n">
        <x:v>360</x:v>
      </x:c>
      <x:c r="C23" s="184" t="n">
        <x:f>'AdsPower套餐基价'!B8</x:f>
        <x:v>126</x:v>
      </x:c>
      <x:c r="D23" s="185" t="n">
        <x:v>0.8</x:v>
      </x:c>
      <x:c r="E23" s="184" t="n">
        <x:f>C23*(B23/30)*D23</x:f>
        <x:v>1209.6000000000001</x:v>
      </x:c>
      <x:c r="F23" s="186" t="n">
        <x:f>E23*'假设与图例'!$B$4</x:f>
        <x:v>8709.12</x:v>
      </x:c>
      <x:c r="G23" s="186" t="n">
        <x:f>'YunLogin套餐价格'!B8</x:f>
        <x:v>455.1</x:v>
      </x:c>
      <x:c r="H23" s="185" t="n">
        <x:v>0.5</x:v>
      </x:c>
      <x:c r="I23" s="186" t="n">
        <x:f>'YunLogin套餐价格'!F8</x:f>
        <x:v>2730.6</x:v>
      </x:c>
      <x:c r="J23" s="186" t="n">
        <x:f>I23-F23</x:f>
        <x:v>-5978.52</x:v>
      </x:c>
      <x:c r="K23" s="187" t="n">
        <x:f>I23/F23</x:f>
        <x:v>0.3135333994708994</x:v>
      </x:c>
      <x:c r="L23" s="183" t="str">
        <x:f>IF(K23&lt;0.8,"Yun页面金额明显较低",IF(K23&gt;1.2,"Ads折算金额明显较低","金额接近；需比较权益"))</x:f>
        <x:v>Yun页面金额明显较低</x:v>
      </x:c>
    </x:row>
    <x:row r="24">
      <x:c r="A24" s="183" t="n">
        <x:v>1000</x:v>
      </x:c>
      <x:c r="B24" s="183" t="n">
        <x:v>30</x:v>
      </x:c>
      <x:c r="C24" s="184" t="n">
        <x:f>'AdsPower套餐基价'!B9</x:f>
        <x:v>197</x:v>
      </x:c>
      <x:c r="D24" s="185" t="n">
        <x:v>1</x:v>
      </x:c>
      <x:c r="E24" s="184" t="n">
        <x:f>C24*(B24/30)*D24</x:f>
        <x:v>197</x:v>
      </x:c>
      <x:c r="F24" s="186" t="n">
        <x:f>E24*'假设与图例'!$B$4</x:f>
        <x:v>1418.4</x:v>
      </x:c>
      <x:c r="G24" s="186" t="n">
        <x:f>'YunLogin套餐价格'!B9</x:f>
        <x:v>712</x:v>
      </x:c>
      <x:c r="H24" s="185" t="n">
        <x:v>0.85</x:v>
      </x:c>
      <x:c r="I24" s="186" t="n">
        <x:f>'YunLogin套餐价格'!C9</x:f>
        <x:v>605.2</x:v>
      </x:c>
      <x:c r="J24" s="186" t="n">
        <x:f>I24-F24</x:f>
        <x:v>-813.2</x:v>
      </x:c>
      <x:c r="K24" s="187" t="n">
        <x:f>I24/F24</x:f>
        <x:v>0.4266779469825155</x:v>
      </x:c>
      <x:c r="L24" s="183" t="str">
        <x:f>IF(K24&lt;0.8,"Yun页面金额明显较低",IF(K24&gt;1.2,"Ads折算金额明显较低","金额接近；需比较权益"))</x:f>
        <x:v>Yun页面金额明显较低</x:v>
      </x:c>
    </x:row>
    <x:row r="25">
      <x:c r="A25" s="183" t="n">
        <x:v>1000</x:v>
      </x:c>
      <x:c r="B25" s="183" t="n">
        <x:v>90</x:v>
      </x:c>
      <x:c r="C25" s="184" t="n">
        <x:f>'AdsPower套餐基价'!B9</x:f>
        <x:v>197</x:v>
      </x:c>
      <x:c r="D25" s="185" t="n">
        <x:v>0.9</x:v>
      </x:c>
      <x:c r="E25" s="184" t="n">
        <x:f>C25*(B25/30)*D25</x:f>
        <x:v>531.9</x:v>
      </x:c>
      <x:c r="F25" s="186" t="n">
        <x:f>E25*'假设与图例'!$B$4</x:f>
        <x:v>3829.68</x:v>
      </x:c>
      <x:c r="G25" s="186" t="n">
        <x:f>'YunLogin套餐价格'!B9</x:f>
        <x:v>712</x:v>
      </x:c>
      <x:c r="H25" s="185" t="n">
        <x:v>0.8</x:v>
      </x:c>
      <x:c r="I25" s="186" t="n">
        <x:f>'YunLogin套餐价格'!D9</x:f>
        <x:v>1708.8</x:v>
      </x:c>
      <x:c r="J25" s="186" t="n">
        <x:f>I25-F25</x:f>
        <x:v>-2120.88</x:v>
      </x:c>
      <x:c r="K25" s="187" t="n">
        <x:f>I25/F25</x:f>
        <x:v>0.4461991602431535</x:v>
      </x:c>
      <x:c r="L25" s="183" t="str">
        <x:f>IF(K25&lt;0.8,"Yun页面金额明显较低",IF(K25&gt;1.2,"Ads折算金额明显较低","金额接近；需比较权益"))</x:f>
        <x:v>Yun页面金额明显较低</x:v>
      </x:c>
    </x:row>
    <x:row r="26">
      <x:c r="A26" s="183" t="n">
        <x:v>1000</x:v>
      </x:c>
      <x:c r="B26" s="183" t="n">
        <x:v>180</x:v>
      </x:c>
      <x:c r="C26" s="184" t="n">
        <x:f>'AdsPower套餐基价'!B9</x:f>
        <x:v>197</x:v>
      </x:c>
      <x:c r="D26" s="185" t="n">
        <x:v>0.85</x:v>
      </x:c>
      <x:c r="E26" s="184" t="n">
        <x:f>C26*(B26/30)*D26</x:f>
        <x:v>1004.6999999999999</x:v>
      </x:c>
      <x:c r="F26" s="186" t="n">
        <x:f>E26*'假设与图例'!$B$4</x:f>
        <x:v>7233.839999999999</x:v>
      </x:c>
      <x:c r="G26" s="186" t="n">
        <x:f>'YunLogin套餐价格'!B9</x:f>
        <x:v>712</x:v>
      </x:c>
      <x:c r="H26" s="185" t="n">
        <x:v>0.75</x:v>
      </x:c>
      <x:c r="I26" s="186" t="n">
        <x:f>'YunLogin套餐价格'!E9</x:f>
        <x:v>3204</x:v>
      </x:c>
      <x:c r="J26" s="186" t="n">
        <x:f>I26-F26</x:f>
        <x:v>-4029.8399999999992</x:v>
      </x:c>
      <x:c r="K26" s="187" t="n">
        <x:f>I26/F26</x:f>
        <x:v>0.44291828406489503</x:v>
      </x:c>
      <x:c r="L26" s="183" t="str">
        <x:f>IF(K26&lt;0.8,"Yun页面金额明显较低",IF(K26&gt;1.2,"Ads折算金额明显较低","金额接近；需比较权益"))</x:f>
        <x:v>Yun页面金额明显较低</x:v>
      </x:c>
    </x:row>
    <x:row r="27">
      <x:c r="A27" s="183" t="n">
        <x:v>1000</x:v>
      </x:c>
      <x:c r="B27" s="183" t="n">
        <x:v>360</x:v>
      </x:c>
      <x:c r="C27" s="184" t="n">
        <x:f>'AdsPower套餐基价'!B9</x:f>
        <x:v>197</x:v>
      </x:c>
      <x:c r="D27" s="185" t="n">
        <x:v>0.8</x:v>
      </x:c>
      <x:c r="E27" s="184" t="n">
        <x:f>C27*(B27/30)*D27</x:f>
        <x:v>1891.2</x:v>
      </x:c>
      <x:c r="F27" s="186" t="n">
        <x:f>E27*'假设与图例'!$B$4</x:f>
        <x:v>13616.640000000001</x:v>
      </x:c>
      <x:c r="G27" s="186" t="n">
        <x:f>'YunLogin套餐价格'!B9</x:f>
        <x:v>712</x:v>
      </x:c>
      <x:c r="H27" s="185" t="n">
        <x:v>0.5</x:v>
      </x:c>
      <x:c r="I27" s="186" t="n">
        <x:f>'YunLogin套餐价格'!F9</x:f>
        <x:v>4272</x:v>
      </x:c>
      <x:c r="J27" s="186" t="n">
        <x:f>I27-F27</x:f>
        <x:v>-9344.640000000001</x:v>
      </x:c>
      <x:c r="K27" s="187" t="n">
        <x:f>I27/F27</x:f>
        <x:v>0.31373378454596723</x:v>
      </x:c>
      <x:c r="L27" s="183" t="str">
        <x:f>IF(K27&lt;0.8,"Yun页面金额明显较低",IF(K27&gt;1.2,"Ads折算金额明显较低","金额接近；需比较权益"))</x:f>
        <x:v>Yun页面金额明显较低</x:v>
      </x:c>
    </x:row>
    <x:row r="28">
      <x:c r="A28" s="183" t="n">
        <x:v>2000</x:v>
      </x:c>
      <x:c r="B28" s="183" t="n">
        <x:v>30</x:v>
      </x:c>
      <x:c r="C28" s="184" t="n">
        <x:f>'AdsPower套餐基价'!B10</x:f>
        <x:v>297</x:v>
      </x:c>
      <x:c r="D28" s="185" t="n">
        <x:v>1</x:v>
      </x:c>
      <x:c r="E28" s="184" t="n">
        <x:f>C28*(B28/30)*D28</x:f>
        <x:v>297</x:v>
      </x:c>
      <x:c r="F28" s="186" t="n">
        <x:f>E28*'假设与图例'!$B$4</x:f>
        <x:v>2138.4</x:v>
      </x:c>
      <x:c r="G28" s="186" t="n">
        <x:f>'YunLogin套餐价格'!B10</x:f>
        <x:v>1014</x:v>
      </x:c>
      <x:c r="H28" s="185" t="n">
        <x:v>0.85</x:v>
      </x:c>
      <x:c r="I28" s="186" t="n">
        <x:f>'YunLogin套餐价格'!C10</x:f>
        <x:v>861.9</x:v>
      </x:c>
      <x:c r="J28" s="186" t="n">
        <x:f>I28-F28</x:f>
        <x:v>-1276.5</x:v>
      </x:c>
      <x:c r="K28" s="187" t="n">
        <x:f>I28/F28</x:f>
        <x:v>0.4030583613916947</x:v>
      </x:c>
      <x:c r="L28" s="183" t="str">
        <x:f>IF(K28&lt;0.8,"Yun页面金额明显较低",IF(K28&gt;1.2,"Ads折算金额明显较低","金额接近；需比较权益"))</x:f>
        <x:v>Yun页面金额明显较低</x:v>
      </x:c>
    </x:row>
    <x:row r="29">
      <x:c r="A29" s="183" t="n">
        <x:v>2000</x:v>
      </x:c>
      <x:c r="B29" s="183" t="n">
        <x:v>90</x:v>
      </x:c>
      <x:c r="C29" s="184" t="n">
        <x:f>'AdsPower套餐基价'!B10</x:f>
        <x:v>297</x:v>
      </x:c>
      <x:c r="D29" s="185" t="n">
        <x:v>0.9</x:v>
      </x:c>
      <x:c r="E29" s="184" t="n">
        <x:f>C29*(B29/30)*D29</x:f>
        <x:v>801.9</x:v>
      </x:c>
      <x:c r="F29" s="186" t="n">
        <x:f>E29*'假设与图例'!$B$4</x:f>
        <x:v>5773.68</x:v>
      </x:c>
      <x:c r="G29" s="186" t="n">
        <x:f>'YunLogin套餐价格'!B10</x:f>
        <x:v>1014</x:v>
      </x:c>
      <x:c r="H29" s="185" t="n">
        <x:v>0.8</x:v>
      </x:c>
      <x:c r="I29" s="186" t="n">
        <x:f>'YunLogin套餐价格'!D10</x:f>
        <x:v>2433.6</x:v>
      </x:c>
      <x:c r="J29" s="186" t="n">
        <x:f>I29-F29</x:f>
        <x:v>-3340.0800000000004</x:v>
      </x:c>
      <x:c r="K29" s="187" t="n">
        <x:f>I29/F29</x:f>
        <x:v>0.4214989400174585</x:v>
      </x:c>
      <x:c r="L29" s="183" t="str">
        <x:f>IF(K29&lt;0.8,"Yun页面金额明显较低",IF(K29&gt;1.2,"Ads折算金额明显较低","金额接近；需比较权益"))</x:f>
        <x:v>Yun页面金额明显较低</x:v>
      </x:c>
    </x:row>
    <x:row r="30">
      <x:c r="A30" s="183" t="n">
        <x:v>2000</x:v>
      </x:c>
      <x:c r="B30" s="183" t="n">
        <x:v>180</x:v>
      </x:c>
      <x:c r="C30" s="184" t="n">
        <x:f>'AdsPower套餐基价'!B10</x:f>
        <x:v>297</x:v>
      </x:c>
      <x:c r="D30" s="185" t="n">
        <x:v>0.85</x:v>
      </x:c>
      <x:c r="E30" s="184" t="n">
        <x:f>C30*(B30/30)*D30</x:f>
        <x:v>1514.7</x:v>
      </x:c>
      <x:c r="F30" s="186" t="n">
        <x:f>E30*'假设与图例'!$B$4</x:f>
        <x:v>10905.84</x:v>
      </x:c>
      <x:c r="G30" s="186" t="n">
        <x:f>'YunLogin套餐价格'!B10</x:f>
        <x:v>1014</x:v>
      </x:c>
      <x:c r="H30" s="185" t="n">
        <x:v>0.75</x:v>
      </x:c>
      <x:c r="I30" s="186" t="n">
        <x:f>'YunLogin套餐价格'!E10</x:f>
        <x:v>4563</x:v>
      </x:c>
      <x:c r="J30" s="186" t="n">
        <x:f>I30-F30</x:f>
        <x:v>-6342.84</x:v>
      </x:c>
      <x:c r="K30" s="187" t="n">
        <x:f>I30/F30</x:f>
        <x:v>0.41839968310556547</x:v>
      </x:c>
      <x:c r="L30" s="183" t="str">
        <x:f>IF(K30&lt;0.8,"Yun页面金额明显较低",IF(K30&gt;1.2,"Ads折算金额明显较低","金额接近；需比较权益"))</x:f>
        <x:v>Yun页面金额明显较低</x:v>
      </x:c>
    </x:row>
    <x:row r="31">
      <x:c r="A31" s="183" t="n">
        <x:v>2000</x:v>
      </x:c>
      <x:c r="B31" s="183" t="n">
        <x:v>360</x:v>
      </x:c>
      <x:c r="C31" s="184" t="n">
        <x:f>'AdsPower套餐基价'!B10</x:f>
        <x:v>297</x:v>
      </x:c>
      <x:c r="D31" s="185" t="n">
        <x:v>0.8</x:v>
      </x:c>
      <x:c r="E31" s="184" t="n">
        <x:f>C31*(B31/30)*D31</x:f>
        <x:v>2851.2000000000003</x:v>
      </x:c>
      <x:c r="F31" s="186" t="n">
        <x:f>E31*'假设与图例'!$B$4</x:f>
        <x:v>20528.640000000003</x:v>
      </x:c>
      <x:c r="G31" s="186" t="n">
        <x:f>'YunLogin套餐价格'!B10</x:f>
        <x:v>1014</x:v>
      </x:c>
      <x:c r="H31" s="185" t="n">
        <x:v>0.5</x:v>
      </x:c>
      <x:c r="I31" s="186" t="n">
        <x:f>'YunLogin套餐价格'!F10</x:f>
        <x:v>6084</x:v>
      </x:c>
      <x:c r="J31" s="186" t="n">
        <x:f>I31-F31</x:f>
        <x:v>-14444.640000000003</x:v>
      </x:c>
      <x:c r="K31" s="187" t="n">
        <x:f>I31/F31</x:f>
        <x:v>0.2963664421997755</x:v>
      </x:c>
      <x:c r="L31" s="183" t="str">
        <x:f>IF(K31&lt;0.8,"Yun页面金额明显较低",IF(K31&gt;1.2,"Ads折算金额明显较低","金额接近；需比较权益"))</x:f>
        <x:v>Yun页面金额明显较低</x:v>
      </x:c>
    </x:row>
    <x:row r="32">
      <x:c r="A32" s="183" t="n">
        <x:v>5000</x:v>
      </x:c>
      <x:c r="B32" s="183" t="n">
        <x:v>30</x:v>
      </x:c>
      <x:c r="C32" s="184" t="n">
        <x:f>'AdsPower套餐基价'!B11</x:f>
        <x:v>597</x:v>
      </x:c>
      <x:c r="D32" s="185" t="n">
        <x:v>1</x:v>
      </x:c>
      <x:c r="E32" s="184" t="n">
        <x:f>C32*(B32/30)*D32</x:f>
        <x:v>597</x:v>
      </x:c>
      <x:c r="F32" s="186" t="n">
        <x:f>E32*'假设与图例'!$B$4</x:f>
        <x:v>4298.400000000001</x:v>
      </x:c>
      <x:c r="G32" s="186" t="n">
        <x:f>'YunLogin套餐价格'!B11</x:f>
        <x:v>1516</x:v>
      </x:c>
      <x:c r="H32" s="185" t="n">
        <x:v>0.85</x:v>
      </x:c>
      <x:c r="I32" s="186" t="n">
        <x:f>'YunLogin套餐价格'!C11</x:f>
        <x:v>1288.6</x:v>
      </x:c>
      <x:c r="J32" s="186" t="n">
        <x:f>I32-F32</x:f>
        <x:v>-3009.8000000000006</x:v>
      </x:c>
      <x:c r="K32" s="187" t="n">
        <x:f>I32/F32</x:f>
        <x:v>0.29978596687139397</x:v>
      </x:c>
      <x:c r="L32" s="183" t="str">
        <x:f>IF(K32&lt;0.8,"Yun页面金额明显较低",IF(K32&gt;1.2,"Ads折算金额明显较低","金额接近；需比较权益"))</x:f>
        <x:v>Yun页面金额明显较低</x:v>
      </x:c>
    </x:row>
    <x:row r="33">
      <x:c r="A33" s="183" t="n">
        <x:v>5000</x:v>
      </x:c>
      <x:c r="B33" s="183" t="n">
        <x:v>90</x:v>
      </x:c>
      <x:c r="C33" s="184" t="n">
        <x:f>'AdsPower套餐基价'!B11</x:f>
        <x:v>597</x:v>
      </x:c>
      <x:c r="D33" s="185" t="n">
        <x:v>0.9</x:v>
      </x:c>
      <x:c r="E33" s="184" t="n">
        <x:f>C33*(B33/30)*D33</x:f>
        <x:v>1611.9</x:v>
      </x:c>
      <x:c r="F33" s="186" t="n">
        <x:f>E33*'假设与图例'!$B$4</x:f>
        <x:v>11605.68</x:v>
      </x:c>
      <x:c r="G33" s="186" t="n">
        <x:f>'YunLogin套餐价格'!B11</x:f>
        <x:v>1516</x:v>
      </x:c>
      <x:c r="H33" s="185" t="n">
        <x:v>0.8</x:v>
      </x:c>
      <x:c r="I33" s="186" t="n">
        <x:f>'YunLogin套餐价格'!D11</x:f>
        <x:v>3638.4</x:v>
      </x:c>
      <x:c r="J33" s="186" t="n">
        <x:f>I33-F33</x:f>
        <x:v>-7967.280000000001</x:v>
      </x:c>
      <x:c r="K33" s="187" t="n">
        <x:f>I33/F33</x:f>
        <x:v>0.3135016647021114</x:v>
      </x:c>
      <x:c r="L33" s="183" t="str">
        <x:f>IF(K33&lt;0.8,"Yun页面金额明显较低",IF(K33&gt;1.2,"Ads折算金额明显较低","金额接近；需比较权益"))</x:f>
        <x:v>Yun页面金额明显较低</x:v>
      </x:c>
    </x:row>
    <x:row r="34">
      <x:c r="A34" s="183" t="n">
        <x:v>5000</x:v>
      </x:c>
      <x:c r="B34" s="183" t="n">
        <x:v>180</x:v>
      </x:c>
      <x:c r="C34" s="184" t="n">
        <x:f>'AdsPower套餐基价'!B11</x:f>
        <x:v>597</x:v>
      </x:c>
      <x:c r="D34" s="185" t="n">
        <x:v>0.85</x:v>
      </x:c>
      <x:c r="E34" s="184" t="n">
        <x:f>C34*(B34/30)*D34</x:f>
        <x:v>3044.7</x:v>
      </x:c>
      <x:c r="F34" s="186" t="n">
        <x:f>E34*'假设与图例'!$B$4</x:f>
        <x:v>21921.84</x:v>
      </x:c>
      <x:c r="G34" s="186" t="n">
        <x:f>'YunLogin套餐价格'!B11</x:f>
        <x:v>1516</x:v>
      </x:c>
      <x:c r="H34" s="185" t="n">
        <x:v>0.75</x:v>
      </x:c>
      <x:c r="I34" s="186" t="n">
        <x:f>'YunLogin套餐价格'!E11</x:f>
        <x:v>6822</x:v>
      </x:c>
      <x:c r="J34" s="186" t="n">
        <x:f>I34-F34</x:f>
        <x:v>-15099.84</x:v>
      </x:c>
      <x:c r="K34" s="187" t="n">
        <x:f>I34/F34</x:f>
        <x:v>0.31119650540283117</x:v>
      </x:c>
      <x:c r="L34" s="183" t="str">
        <x:f>IF(K34&lt;0.8,"Yun页面金额明显较低",IF(K34&gt;1.2,"Ads折算金额明显较低","金额接近；需比较权益"))</x:f>
        <x:v>Yun页面金额明显较低</x:v>
      </x:c>
    </x:row>
    <x:row r="35">
      <x:c r="A35" s="188" t="n">
        <x:v>5000</x:v>
      </x:c>
      <x:c r="B35" s="188" t="n">
        <x:v>360</x:v>
      </x:c>
      <x:c r="C35" s="189" t="n">
        <x:f>'AdsPower套餐基价'!B11</x:f>
        <x:v>597</x:v>
      </x:c>
      <x:c r="D35" s="190" t="n">
        <x:v>0.8</x:v>
      </x:c>
      <x:c r="E35" s="189" t="n">
        <x:f>C35*(B35/30)*D35</x:f>
        <x:v>5731.200000000001</x:v>
      </x:c>
      <x:c r="F35" s="191" t="n">
        <x:f>E35*'假设与图例'!$B$4</x:f>
        <x:v>41264.64000000001</x:v>
      </x:c>
      <x:c r="G35" s="191" t="n">
        <x:f>'YunLogin套餐价格'!B11</x:f>
        <x:v>1516</x:v>
      </x:c>
      <x:c r="H35" s="190" t="n">
        <x:v>0.5</x:v>
      </x:c>
      <x:c r="I35" s="191" t="n">
        <x:f>'YunLogin套餐价格'!F11</x:f>
        <x:v>9096</x:v>
      </x:c>
      <x:c r="J35" s="191" t="n">
        <x:f>I35-F35</x:f>
        <x:v>-32168.640000000007</x:v>
      </x:c>
      <x:c r="K35" s="192" t="n">
        <x:f>I35/F35</x:f>
        <x:v>0.22043085799367204</x:v>
      </x:c>
      <x:c r="L35" s="188" t="str">
        <x:f>IF(K35&lt;0.8,"Yun页面金额明显较低",IF(K35&gt;1.2,"Ads折算金额明显较低","金额接近；需比较权益"))</x:f>
        <x:v>Yun页面金额明显较低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fc79ba727d34f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50" t="str">
        <x:v>AdsPower 浏览器套餐基价与累进计价</x:v>
      </x:c>
      <x:c r="B1" s="150"/>
      <x:c r="C1" s="150"/>
      <x:c r="D1" s="150"/>
      <x:c r="E1" s="150"/>
      <x:c r="F1" s="150"/>
      <x:c r="G1" s="150"/>
    </x:row>
    <x:row r="2">
      <x:c r="A2" s="151"/>
      <x:c r="B2" s="151"/>
      <x:c r="C2" s="151"/>
      <x:c r="D2" s="151"/>
      <x:c r="E2" s="151"/>
      <x:c r="F2" s="151"/>
      <x:c r="G2" s="151"/>
    </x:row>
    <x:row r="3">
      <x:c r="A3" s="171" t="str">
        <x:v>环境数</x:v>
      </x:c>
      <x:c r="B3" s="172" t="str">
        <x:v>月付环境商品价（USD）</x:v>
      </x:c>
      <x:c r="C3" s="172" t="str">
        <x:v>折算人民币（汇率假设）</x:v>
      </x:c>
      <x:c r="D3" s="172" t="str">
        <x:v>30天系数</x:v>
      </x:c>
      <x:c r="E3" s="172" t="str">
        <x:v>90天系数</x:v>
      </x:c>
      <x:c r="F3" s="172" t="str">
        <x:v>180天系数</x:v>
      </x:c>
      <x:c r="G3" s="173" t="str">
        <x:v>360天系数</x:v>
      </x:c>
    </x:row>
    <x:row r="4">
      <x:c r="A4" s="178" t="n">
        <x:v>10</x:v>
      </x:c>
      <x:c r="B4" s="179" t="n">
        <x:v>9</x:v>
      </x:c>
      <x:c r="C4" s="181" t="n">
        <x:f>B4*'假设与图例'!$B$4</x:f>
        <x:v>64.8</x:v>
      </x:c>
      <x:c r="D4" s="180" t="n">
        <x:v>1</x:v>
      </x:c>
      <x:c r="E4" s="180" t="n">
        <x:v>0.9</x:v>
      </x:c>
      <x:c r="F4" s="180" t="n">
        <x:v>0.85</x:v>
      </x:c>
      <x:c r="G4" s="180" t="n">
        <x:v>0.8</x:v>
      </x:c>
    </x:row>
    <x:row r="5">
      <x:c r="A5" s="183" t="n">
        <x:v>50</x:v>
      </x:c>
      <x:c r="B5" s="184" t="n">
        <x:v>21</x:v>
      </x:c>
      <x:c r="C5" s="186" t="n">
        <x:f>B5*'假设与图例'!$B$4</x:f>
        <x:v>151.20000000000002</x:v>
      </x:c>
      <x:c r="D5" s="185" t="n">
        <x:v>1</x:v>
      </x:c>
      <x:c r="E5" s="185" t="n">
        <x:v>0.9</x:v>
      </x:c>
      <x:c r="F5" s="185" t="n">
        <x:v>0.85</x:v>
      </x:c>
      <x:c r="G5" s="185" t="n">
        <x:v>0.8</x:v>
      </x:c>
    </x:row>
    <x:row r="6">
      <x:c r="A6" s="183" t="n">
        <x:v>100</x:v>
      </x:c>
      <x:c r="B6" s="184" t="n">
        <x:v>36</x:v>
      </x:c>
      <x:c r="C6" s="186" t="n">
        <x:f>B6*'假设与图例'!$B$4</x:f>
        <x:v>259.2</x:v>
      </x:c>
      <x:c r="D6" s="185" t="n">
        <x:v>1</x:v>
      </x:c>
      <x:c r="E6" s="185" t="n">
        <x:v>0.9</x:v>
      </x:c>
      <x:c r="F6" s="185" t="n">
        <x:v>0.85</x:v>
      </x:c>
      <x:c r="G6" s="185" t="n">
        <x:v>0.8</x:v>
      </x:c>
    </x:row>
    <x:row r="7">
      <x:c r="A7" s="183" t="n">
        <x:v>200</x:v>
      </x:c>
      <x:c r="B7" s="184" t="n">
        <x:v>61</x:v>
      </x:c>
      <x:c r="C7" s="186" t="n">
        <x:f>B7*'假设与图例'!$B$4</x:f>
        <x:v>439.2</x:v>
      </x:c>
      <x:c r="D7" s="185" t="n">
        <x:v>1</x:v>
      </x:c>
      <x:c r="E7" s="185" t="n">
        <x:v>0.9</x:v>
      </x:c>
      <x:c r="F7" s="185" t="n">
        <x:v>0.85</x:v>
      </x:c>
      <x:c r="G7" s="185" t="n">
        <x:v>0.8</x:v>
      </x:c>
    </x:row>
    <x:row r="8">
      <x:c r="A8" s="183" t="n">
        <x:v>500</x:v>
      </x:c>
      <x:c r="B8" s="184" t="n">
        <x:v>126</x:v>
      </x:c>
      <x:c r="C8" s="186" t="n">
        <x:f>B8*'假设与图例'!$B$4</x:f>
        <x:v>907.2</x:v>
      </x:c>
      <x:c r="D8" s="185" t="n">
        <x:v>1</x:v>
      </x:c>
      <x:c r="E8" s="185" t="n">
        <x:v>0.9</x:v>
      </x:c>
      <x:c r="F8" s="185" t="n">
        <x:v>0.85</x:v>
      </x:c>
      <x:c r="G8" s="185" t="n">
        <x:v>0.8</x:v>
      </x:c>
    </x:row>
    <x:row r="9">
      <x:c r="A9" s="183" t="n">
        <x:v>1000</x:v>
      </x:c>
      <x:c r="B9" s="184" t="n">
        <x:v>197</x:v>
      </x:c>
      <x:c r="C9" s="186" t="n">
        <x:f>B9*'假设与图例'!$B$4</x:f>
        <x:v>1418.4</x:v>
      </x:c>
      <x:c r="D9" s="185" t="n">
        <x:v>1</x:v>
      </x:c>
      <x:c r="E9" s="185" t="n">
        <x:v>0.9</x:v>
      </x:c>
      <x:c r="F9" s="185" t="n">
        <x:v>0.85</x:v>
      </x:c>
      <x:c r="G9" s="185" t="n">
        <x:v>0.8</x:v>
      </x:c>
    </x:row>
    <x:row r="10">
      <x:c r="A10" s="183" t="n">
        <x:v>2000</x:v>
      </x:c>
      <x:c r="B10" s="184" t="n">
        <x:v>297</x:v>
      </x:c>
      <x:c r="C10" s="186" t="n">
        <x:f>B10*'假设与图例'!$B$4</x:f>
        <x:v>2138.4</x:v>
      </x:c>
      <x:c r="D10" s="185" t="n">
        <x:v>1</x:v>
      </x:c>
      <x:c r="E10" s="185" t="n">
        <x:v>0.9</x:v>
      </x:c>
      <x:c r="F10" s="185" t="n">
        <x:v>0.85</x:v>
      </x:c>
      <x:c r="G10" s="185" t="n">
        <x:v>0.8</x:v>
      </x:c>
    </x:row>
    <x:row r="11">
      <x:c r="A11" s="188" t="n">
        <x:v>5000</x:v>
      </x:c>
      <x:c r="B11" s="189" t="n">
        <x:v>597</x:v>
      </x:c>
      <x:c r="C11" s="191" t="n">
        <x:f>B11*'假设与图例'!$B$4</x:f>
        <x:v>4298.400000000001</x:v>
      </x:c>
      <x:c r="D11" s="190" t="n">
        <x:v>1</x:v>
      </x:c>
      <x:c r="E11" s="190" t="n">
        <x:v>0.9</x:v>
      </x:c>
      <x:c r="F11" s="190" t="n">
        <x:v>0.85</x:v>
      </x:c>
      <x:c r="G11" s="190" t="n">
        <x:v>0.8</x:v>
      </x:c>
    </x:row>
    <x:row r="12">
      <x:c r="A12" s="151"/>
      <x:c r="B12" s="151"/>
      <x:c r="C12" s="151"/>
      <x:c r="D12" s="151"/>
      <x:c r="E12" s="151"/>
      <x:c r="F12" s="151"/>
      <x:c r="G12" s="151"/>
    </x:row>
    <x:row r="13">
      <x:c r="A13" s="193" t="str">
        <x:v>计价公式：按区间累进计价；例如200环境=10×$0.90+90×$0.30+100×$0.25=$61/月。表内不含额外成员费、支付手续费或优惠券。</x:v>
      </x:c>
      <x:c r="B13" s="193"/>
      <x:c r="C13" s="193"/>
      <x:c r="D13" s="193"/>
      <x:c r="E13" s="193"/>
      <x:c r="F13" s="193"/>
      <x:c r="G13" s="193"/>
    </x:row>
  </x:sheetData>
  <x:mergeCells>
    <x:mergeCell ref="A1:G1"/>
    <x:mergeCell ref="A13:G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50" t="str">
        <x:v>YunLogin 浏览器套餐价格矩阵</x:v>
      </x:c>
      <x:c r="B1" s="150"/>
      <x:c r="C1" s="150"/>
      <x:c r="D1" s="150"/>
      <x:c r="E1" s="150"/>
      <x:c r="F1" s="150"/>
    </x:row>
    <x:row r="2">
      <x:c r="A2" s="151"/>
      <x:c r="B2" s="151"/>
      <x:c r="C2" s="151"/>
      <x:c r="D2" s="151"/>
      <x:c r="E2" s="151"/>
      <x:c r="F2" s="151"/>
    </x:row>
    <x:row r="3">
      <x:c r="A3" s="171" t="str">
        <x:v>环境数</x:v>
      </x:c>
      <x:c r="B3" s="172" t="str">
        <x:v>原始月价（CNY）</x:v>
      </x:c>
      <x:c r="C3" s="172" t="str">
        <x:v>30天应付</x:v>
      </x:c>
      <x:c r="D3" s="172" t="str">
        <x:v>90天应付</x:v>
      </x:c>
      <x:c r="E3" s="172" t="str">
        <x:v>180天应付</x:v>
      </x:c>
      <x:c r="F3" s="173" t="str">
        <x:v>360天应付</x:v>
      </x:c>
    </x:row>
    <x:row r="4">
      <x:c r="A4" s="194" t="n">
        <x:v>10</x:v>
      </x:c>
      <x:c r="B4" s="195" t="n">
        <x:v>19</x:v>
      </x:c>
      <x:c r="C4" s="195" t="n">
        <x:v>16.15</x:v>
      </x:c>
      <x:c r="D4" s="195" t="n">
        <x:v>45.6</x:v>
      </x:c>
      <x:c r="E4" s="195" t="n">
        <x:v>85.5</x:v>
      </x:c>
      <x:c r="F4" s="195" t="n">
        <x:v>114</x:v>
      </x:c>
    </x:row>
    <x:row r="5">
      <x:c r="A5" s="196" t="n">
        <x:v>50</x:v>
      </x:c>
      <x:c r="B5" s="197" t="n">
        <x:v>130.2</x:v>
      </x:c>
      <x:c r="C5" s="197" t="n">
        <x:v>110.67</x:v>
      </x:c>
      <x:c r="D5" s="197" t="n">
        <x:v>312.48</x:v>
      </x:c>
      <x:c r="E5" s="197" t="n">
        <x:v>585.9</x:v>
      </x:c>
      <x:c r="F5" s="197" t="n">
        <x:v>781.2</x:v>
      </x:c>
    </x:row>
    <x:row r="6">
      <x:c r="A6" s="196" t="n">
        <x:v>100</x:v>
      </x:c>
      <x:c r="B6" s="197" t="n">
        <x:v>198.1</x:v>
      </x:c>
      <x:c r="C6" s="197" t="n">
        <x:v>168.39</x:v>
      </x:c>
      <x:c r="D6" s="197" t="n">
        <x:v>475.44</x:v>
      </x:c>
      <x:c r="E6" s="197" t="n">
        <x:v>891.45</x:v>
      </x:c>
      <x:c r="F6" s="197" t="n">
        <x:v>1188.6</x:v>
      </x:c>
    </x:row>
    <x:row r="7">
      <x:c r="A7" s="196" t="n">
        <x:v>200</x:v>
      </x:c>
      <x:c r="B7" s="197" t="n">
        <x:v>302.1</x:v>
      </x:c>
      <x:c r="C7" s="197" t="n">
        <x:v>256.79</x:v>
      </x:c>
      <x:c r="D7" s="197" t="n">
        <x:v>725.04</x:v>
      </x:c>
      <x:c r="E7" s="197" t="n">
        <x:v>1359.45</x:v>
      </x:c>
      <x:c r="F7" s="197" t="n">
        <x:v>1812.6</x:v>
      </x:c>
    </x:row>
    <x:row r="8">
      <x:c r="A8" s="196" t="n">
        <x:v>500</x:v>
      </x:c>
      <x:c r="B8" s="197" t="n">
        <x:v>455.1</x:v>
      </x:c>
      <x:c r="C8" s="197" t="n">
        <x:v>386.84</x:v>
      </x:c>
      <x:c r="D8" s="197" t="n">
        <x:v>1092.24</x:v>
      </x:c>
      <x:c r="E8" s="197" t="n">
        <x:v>2047.95</x:v>
      </x:c>
      <x:c r="F8" s="197" t="n">
        <x:v>2730.6</x:v>
      </x:c>
    </x:row>
    <x:row r="9">
      <x:c r="A9" s="196" t="n">
        <x:v>1000</x:v>
      </x:c>
      <x:c r="B9" s="197" t="n">
        <x:v>712</x:v>
      </x:c>
      <x:c r="C9" s="197" t="n">
        <x:v>605.2</x:v>
      </x:c>
      <x:c r="D9" s="197" t="n">
        <x:v>1708.8</x:v>
      </x:c>
      <x:c r="E9" s="197" t="n">
        <x:v>3204</x:v>
      </x:c>
      <x:c r="F9" s="197" t="n">
        <x:v>4272</x:v>
      </x:c>
    </x:row>
    <x:row r="10">
      <x:c r="A10" s="196" t="n">
        <x:v>2000</x:v>
      </x:c>
      <x:c r="B10" s="197" t="n">
        <x:v>1014</x:v>
      </x:c>
      <x:c r="C10" s="197" t="n">
        <x:v>861.9</x:v>
      </x:c>
      <x:c r="D10" s="197" t="n">
        <x:v>2433.6</x:v>
      </x:c>
      <x:c r="E10" s="197" t="n">
        <x:v>4563</x:v>
      </x:c>
      <x:c r="F10" s="197" t="n">
        <x:v>6084</x:v>
      </x:c>
    </x:row>
    <x:row r="11">
      <x:c r="A11" s="198" t="n">
        <x:v>5000</x:v>
      </x:c>
      <x:c r="B11" s="199" t="n">
        <x:v>1516</x:v>
      </x:c>
      <x:c r="C11" s="199" t="n">
        <x:v>1288.6</x:v>
      </x:c>
      <x:c r="D11" s="199" t="n">
        <x:v>3638.4</x:v>
      </x:c>
      <x:c r="E11" s="199" t="n">
        <x:v>6822</x:v>
      </x:c>
      <x:c r="F11" s="199" t="n">
        <x:v>9096</x:v>
      </x:c>
    </x:row>
    <x:row r="12">
      <x:c r="A12" s="151"/>
      <x:c r="B12" s="151"/>
      <x:c r="C12" s="151"/>
      <x:c r="D12" s="151"/>
      <x:c r="E12" s="151"/>
      <x:c r="F12" s="151"/>
    </x:row>
    <x:row r="13">
      <x:c r="A13" s="193" t="str">
        <x:v>价格含当期限时折扣：30/90/180/360天对应0.85/0.8/0.75/0.5；不含额外成员、现套餐抵扣和优惠券。50环境90天为按已确认月价计算值。</x:v>
      </x:c>
      <x:c r="B13" s="193"/>
      <x:c r="C13" s="193"/>
      <x:c r="D13" s="193"/>
      <x:c r="E13" s="193"/>
      <x:c r="F13" s="193"/>
    </x:row>
  </x:sheetData>
  <x:mergeCells>
    <x:mergeCell ref="A1:F1"/>
    <x:mergeCell ref="A13:F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30" hidden="0" customWidth="1"/>
    <x:col min="4" max="4" width="18" hidden="0" customWidth="1"/>
    <x:col min="5" max="5" width="36" hidden="0" customWidth="1"/>
    <x:col min="6" max="6" width="48" hidden="0" customWidth="1"/>
    <x:col min="7" max="7" width="38" hidden="0" customWidth="1"/>
  </x:cols>
  <x:sheetData>
    <x:row r="1">
      <x:c r="A1" s="150" t="str">
        <x:v>代理与增值商品价格口径对比</x:v>
      </x:c>
      <x:c r="B1" s="150"/>
      <x:c r="C1" s="150"/>
      <x:c r="D1" s="150"/>
      <x:c r="E1" s="150"/>
      <x:c r="F1" s="150"/>
      <x:c r="G1" s="150"/>
    </x:row>
    <x:row r="2">
      <x:c r="A2" s="151"/>
      <x:c r="B2" s="151"/>
      <x:c r="C2" s="151"/>
      <x:c r="D2" s="151"/>
      <x:c r="E2" s="151"/>
      <x:c r="F2" s="151"/>
      <x:c r="G2" s="151"/>
    </x:row>
    <x:row r="3">
      <x:c r="A3" s="171" t="str">
        <x:v>商品类型</x:v>
      </x:c>
      <x:c r="B3" s="172" t="str">
        <x:v>产品</x:v>
      </x:c>
      <x:c r="C3" s="172" t="str">
        <x:v>价格区间/示例</x:v>
      </x:c>
      <x:c r="D3" s="172" t="str">
        <x:v>有效期/周期</x:v>
      </x:c>
      <x:c r="E3" s="172" t="str">
        <x:v>折扣或定制</x:v>
      </x:c>
      <x:c r="F3" s="172" t="str">
        <x:v>可比性说明</x:v>
      </x:c>
      <x:c r="G3" s="173" t="str">
        <x:v>来源</x:v>
      </x:c>
    </x:row>
    <x:row r="4">
      <x:c r="A4" s="200" t="str">
        <x:v>静态数据中心代理</x:v>
      </x:c>
      <x:c r="B4" s="200" t="str">
        <x:v>AdsPower</x:v>
      </x:c>
      <x:c r="C4" s="200" t="str">
        <x:v>$5.99～$7.99/IP</x:v>
      </x:c>
      <x:c r="D4" s="200" t="str">
        <x:v>30天</x:v>
      </x:c>
      <x:c r="E4" s="200" t="str">
        <x:v>90/180/360天享0.95/0.9/0.85折</x:v>
      </x:c>
      <x:c r="F4" s="200" t="str">
        <x:v>Socks5；国家级报价</x:v>
      </x:c>
      <x:c r="G4" s="200" t="str">
        <x:v>Adspower产品价格清单.md:76-108</x:v>
      </x:c>
    </x:row>
    <x:row r="5">
      <x:c r="A5" s="157" t="str">
        <x:v>静态ISP住宅代理</x:v>
      </x:c>
      <x:c r="B5" s="157" t="str">
        <x:v>AdsPower</x:v>
      </x:c>
      <x:c r="C5" s="157" t="str">
        <x:v>$7.99～$10.99/IP</x:v>
      </x:c>
      <x:c r="D5" s="157" t="str">
        <x:v>30天</x:v>
      </x:c>
      <x:c r="E5" s="157" t="str">
        <x:v>90/180/360天享0.95/0.9/0.85折</x:v>
      </x:c>
      <x:c r="F5" s="157" t="str">
        <x:v>Socks5；国家级报价</x:v>
      </x:c>
      <x:c r="G5" s="157" t="str">
        <x:v>Adspower产品价格清单.md:90-108</x:v>
      </x:c>
    </x:row>
    <x:row r="6">
      <x:c r="A6" s="157" t="str">
        <x:v>动态住宅代理</x:v>
      </x:c>
      <x:c r="B6" s="157" t="str">
        <x:v>AdsPower</x:v>
      </x:c>
      <x:c r="C6" s="157" t="str">
        <x:v>$3.99/GB起；100GB包$199.50</x:v>
      </x:c>
      <x:c r="D6" s="157" t="str">
        <x:v>30～180天</x:v>
      </x:c>
      <x:c r="E6" s="157" t="str">
        <x:v>5GB至100GB折扣0.85至0.5；&gt;1000GB询价</x:v>
      </x:c>
      <x:c r="F6" s="157" t="str">
        <x:v>按流量包计费</x:v>
      </x:c>
      <x:c r="G6" s="157" t="str">
        <x:v>Adspower产品价格清单.md:112-121</x:v>
      </x:c>
    </x:row>
    <x:row r="7">
      <x:c r="A7" s="157" t="str">
        <x:v>全球家庭住宅静态代理</x:v>
      </x:c>
      <x:c r="B7" s="157" t="str">
        <x:v>YunLogin</x:v>
      </x:c>
      <x:c r="C7" s="157" t="str">
        <x:v>¥19.90～¥102.90/IP/月</x:v>
      </x:c>
      <x:c r="D7" s="157" t="str">
        <x:v>1/3/12月</x:v>
      </x:c>
      <x:c r="E7" s="157" t="str">
        <x:v>3月8折、12月4折；活动期首月免费</x:v>
      </x:c>
      <x:c r="F7" s="157" t="str">
        <x:v>城市/资源卡/号段；报价受库存和活动影响</x:v>
      </x:c>
      <x:c r="G7" s="157" t="str">
        <x:v>YunLogin产品价格清单.md:14-75</x:v>
      </x:c>
    </x:row>
    <x:row r="8">
      <x:c r="A8" s="201" t="str">
        <x:v>云平台静态代理</x:v>
      </x:c>
      <x:c r="B8" s="201" t="str">
        <x:v>YunLogin</x:v>
      </x:c>
      <x:c r="C8" s="201" t="str">
        <x:v>¥55.90～¥79.90/IP/月（已覆盖代表样本）</x:v>
      </x:c>
      <x:c r="D8" s="201" t="str">
        <x:v>1/3/6/12月</x:v>
      </x:c>
      <x:c r="E8" s="201" t="str">
        <x:v>部分资源9/8.5/8折，部分无折扣</x:v>
      </x:c>
      <x:c r="F8" s="201" t="str">
        <x:v>城市/资源卡；同地区可有不同报价</x:v>
      </x:c>
      <x:c r="G8" s="201" t="str">
        <x:v>YunLogin产品价格清单.md:77-121</x:v>
      </x:c>
    </x:row>
    <x:row r="9">
      <x:c r="A9" s="151"/>
      <x:c r="B9" s="151"/>
      <x:c r="C9" s="151"/>
      <x:c r="D9" s="151"/>
      <x:c r="E9" s="151"/>
      <x:c r="F9" s="151"/>
      <x:c r="G9" s="151"/>
    </x:row>
    <x:row r="10">
      <x:c r="A10" s="202" t="str">
        <x:v>重要：两家代理不是同一供应商、同一线路、同一城市颗粒度或同一质量等级。汇率折算后金额仍不构成等质价格比较，应补充IP纯净度、可用率、成功率、售后与库存。</x:v>
      </x:c>
      <x:c r="B10" s="202"/>
      <x:c r="C10" s="202"/>
      <x:c r="D10" s="202"/>
      <x:c r="E10" s="202"/>
      <x:c r="F10" s="202"/>
      <x:c r="G10" s="202"/>
    </x:row>
  </x:sheetData>
  <x:mergeCells>
    <x:mergeCell ref="A1:G1"/>
    <x:mergeCell ref="A10:G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52" hidden="0" customWidth="1"/>
  </x:cols>
  <x:sheetData>
    <x:row r="1">
      <x:c r="A1" s="150" t="str">
        <x:v>假设、颜色图例与计算边界</x:v>
      </x:c>
      <x:c r="B1" s="150"/>
      <x:c r="C1" s="150"/>
      <x:c r="D1" s="150"/>
    </x:row>
    <x:row r="2">
      <x:c r="A2" s="151"/>
      <x:c r="B2" s="151"/>
      <x:c r="C2" s="151"/>
      <x:c r="D2" s="151"/>
    </x:row>
    <x:row r="3">
      <x:c r="A3" s="203" t="str">
        <x:v>项目</x:v>
      </x:c>
      <x:c r="B3" s="203" t="str">
        <x:v>值/颜色</x:v>
      </x:c>
      <x:c r="C3" s="203" t="str">
        <x:v>定义</x:v>
      </x:c>
      <x:c r="D3" s="203" t="str">
        <x:v>使用限制</x:v>
      </x:c>
    </x:row>
    <x:row r="4">
      <x:c r="A4" s="204" t="str">
        <x:v>USD/CNY分析汇率</x:v>
      </x:c>
      <x:c r="B4" s="205" t="n">
        <x:v>7.2</x:v>
      </x:c>
      <x:c r="C4" s="204" t="str">
        <x:v>用于套餐金额敏感性折算</x:v>
      </x:c>
      <x:c r="D4" s="204" t="str">
        <x:v>非实时汇率；可编辑后查看公式结果</x:v>
      </x:c>
    </x:row>
    <x:row r="5">
      <x:c r="A5" s="204"/>
      <x:c r="B5" s="204"/>
      <x:c r="C5" s="204"/>
      <x:c r="D5" s="204"/>
    </x:row>
    <x:row r="6">
      <x:c r="A6" s="206" t="str">
        <x:v>红色</x:v>
      </x:c>
      <x:c r="B6" s="206" t="str">
        <x:v>红色</x:v>
      </x:c>
      <x:c r="C6" s="206" t="str">
        <x:v>AdsPower有、YunLogin明确没有</x:v>
      </x:c>
      <x:c r="D6" s="206" t="str">
        <x:v>必须有YunLogin明确不存在或不支持的证据</x:v>
      </x:c>
    </x:row>
    <x:row r="7">
      <x:c r="A7" s="207" t="str">
        <x:v>黄色</x:v>
      </x:c>
      <x:c r="B7" s="207" t="str">
        <x:v>黄色</x:v>
      </x:c>
      <x:c r="C7" s="207" t="str">
        <x:v>AdsPower有、YunLogin材料未覆盖</x:v>
      </x:c>
      <x:c r="D7" s="207" t="str">
        <x:v>先补材料或实测，禁止直接视为缺失</x:v>
      </x:c>
    </x:row>
    <x:row r="8">
      <x:c r="A8" s="208" t="str">
        <x:v>绿色</x:v>
      </x:c>
      <x:c r="B8" s="208" t="str">
        <x:v>绿色</x:v>
      </x:c>
      <x:c r="C8" s="208" t="str">
        <x:v>双方核心价格模式一致</x:v>
      </x:c>
      <x:c r="D8" s="208" t="str">
        <x:v>仍需比较具体规则和体验</x:v>
      </x:c>
    </x:row>
    <x:row r="9">
      <x:c r="A9" s="209" t="str">
        <x:v>蓝色</x:v>
      </x:c>
      <x:c r="B9" s="209" t="str">
        <x:v>蓝色</x:v>
      </x:c>
      <x:c r="C9" s="209" t="str">
        <x:v>双方均有但价格/套餐模式不同</x:v>
      </x:c>
      <x:c r="D9" s="209" t="str">
        <x:v>差异不自动等于优劣</x:v>
      </x:c>
    </x:row>
    <x:row r="10">
      <x:c r="A10" s="210" t="str">
        <x:v>灰色</x:v>
      </x:c>
      <x:c r="B10" s="210" t="str">
        <x:v>灰色</x:v>
      </x:c>
      <x:c r="C10" s="210" t="str">
        <x:v>仅单边确认、不可等质比较或双方均不完整</x:v>
      </x:c>
      <x:c r="D10" s="210" t="str">
        <x:v>不纳入确定竞品缺口</x:v>
      </x:c>
    </x:row>
    <x:row r="11">
      <x:c r="A11" s="204"/>
      <x:c r="B11" s="204"/>
      <x:c r="C11" s="204"/>
      <x:c r="D11" s="204"/>
    </x:row>
    <x:row r="12">
      <x:c r="A12" s="211" t="str">
        <x:v>比较边界</x:v>
      </x:c>
      <x:c r="B12" s="211" t="str">
        <x:v>处理方式</x:v>
      </x:c>
      <x:c r="C12" s="211" t="str">
        <x:v>原因</x:v>
      </x:c>
      <x:c r="D12" s="211" t="str">
        <x:v>决策建议</x:v>
      </x:c>
    </x:row>
    <x:row r="13">
      <x:c r="A13" s="204" t="str">
        <x:v>币种</x:v>
      </x:c>
      <x:c r="B13" s="204" t="str">
        <x:v>保留原币，并提供可编辑汇率敏感性</x:v>
      </x:c>
      <x:c r="C13" s="204" t="str">
        <x:v>汇率随时间变化</x:v>
      </x:c>
      <x:c r="D13" s="204" t="str">
        <x:v>不要把折算结果当实时报价</x:v>
      </x:c>
    </x:row>
    <x:row r="14">
      <x:c r="A14" s="204" t="str">
        <x:v>代理资源</x:v>
      </x:c>
      <x:c r="B14" s="204" t="str">
        <x:v>只比较模式和公开区间，不直接排序贵贱</x:v>
      </x:c>
      <x:c r="C14" s="204" t="str">
        <x:v>供应商、质量、地区、协议和SLA不同</x:v>
      </x:c>
      <x:c r="D14" s="204" t="str">
        <x:v>建立等质样本后再比TCO</x:v>
      </x:c>
    </x:row>
    <x:row r="15">
      <x:c r="A15" s="204" t="str">
        <x:v>促销价格</x:v>
      </x:c>
      <x:c r="B15" s="204" t="str">
        <x:v>标记活动和截止日期</x:v>
      </x:c>
      <x:c r="C15" s="204" t="str">
        <x:v>短期折扣不等于常规价格</x:v>
      </x:c>
      <x:c r="D15" s="204" t="str">
        <x:v>到期后重新核实</x:v>
      </x:c>
    </x:row>
    <x:row r="16">
      <x:c r="A16" s="204" t="str">
        <x:v>手续费</x:v>
      </x:c>
      <x:c r="B16" s="204" t="str">
        <x:v>单独列示，不混入商品基价</x:v>
      </x:c>
      <x:c r="C16" s="204" t="str">
        <x:v>渠道和地区可能不同</x:v>
      </x:c>
      <x:c r="D16" s="204" t="str">
        <x:v>结算页验证最终应付</x:v>
      </x:c>
    </x:row>
    <x:row r="17">
      <x:c r="A17" s="204" t="str">
        <x:v>功能权益</x:v>
      </x:c>
      <x:c r="B17" s="204" t="str">
        <x:v>套餐金额表不调整权益差异</x:v>
      </x:c>
      <x:c r="C17" s="204" t="str">
        <x:v>两家套餐所含能力不完全相同</x:v>
      </x:c>
      <x:c r="D17" s="204" t="str">
        <x:v>金额与功能覆盖表联合决策</x:v>
      </x:c>
    </x:row>
  </x:sheetData>
  <x:mergeCells>
    <x:mergeCell ref="A1:D1"/>
  </x:mergeCells>
  <x:pageMargins left="0.7" right="0.7" top="0.75" bottom="0.75" header="0.3" footer="0.3"/>
</x:worksheet>
</file>